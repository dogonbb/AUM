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uke\Desktop\Uni\Winfo\Master\SoSe 26\Unternehmensmodellierung\Hausarbeit\Auswertung\Excel_fuer_Benni\"/>
    </mc:Choice>
  </mc:AlternateContent>
  <xr:revisionPtr revIDLastSave="0" documentId="13_ncr:1_{6F3219A0-4C81-42C6-A1AB-A4B9A454A3E7}" xr6:coauthVersionLast="47" xr6:coauthVersionMax="47" xr10:uidLastSave="{00000000-0000-0000-0000-000000000000}"/>
  <bookViews>
    <workbookView xWindow="-110" yWindow="-110" windowWidth="25820" windowHeight="15500" tabRatio="618" xr2:uid="{00000000-000D-0000-FFFF-FFFF00000000}"/>
  </bookViews>
  <sheets>
    <sheet name="Diagramme_Importierbarkeit" sheetId="17" r:id="rId1"/>
    <sheet name="Diagramme_Completness" sheetId="18" r:id="rId2"/>
    <sheet name="Diagramme_Quality" sheetId="19" r:id="rId3"/>
    <sheet name="Overview" sheetId="14" r:id="rId4"/>
    <sheet name="Importability_Qwen" sheetId="2" r:id="rId5"/>
    <sheet name="Completeness_Qwen" sheetId="4" r:id="rId6"/>
    <sheet name="Precision_Qwen" sheetId="6" r:id="rId7"/>
    <sheet name="Quality_Qwen" sheetId="9" r:id="rId8"/>
  </sheets>
  <externalReferences>
    <externalReference r:id="rId9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9" l="1"/>
  <c r="C16" i="19"/>
  <c r="P15" i="17"/>
  <c r="Q15" i="17"/>
  <c r="R15" i="17"/>
  <c r="T15" i="17"/>
  <c r="AB15" i="17"/>
  <c r="AC15" i="17"/>
  <c r="AD15" i="17"/>
  <c r="AF15" i="17"/>
  <c r="AN15" i="17"/>
  <c r="AO15" i="17"/>
  <c r="AP15" i="17"/>
  <c r="AR15" i="17"/>
  <c r="AU15" i="17"/>
  <c r="P16" i="17"/>
  <c r="Q16" i="17"/>
  <c r="R16" i="17"/>
  <c r="S16" i="17"/>
  <c r="T16" i="17"/>
  <c r="U16" i="17"/>
  <c r="V16" i="17"/>
  <c r="AB16" i="17"/>
  <c r="AC16" i="17"/>
  <c r="AD16" i="17"/>
  <c r="AE16" i="17"/>
  <c r="AF16" i="17"/>
  <c r="AG16" i="17"/>
  <c r="AH16" i="17"/>
  <c r="AN16" i="17"/>
  <c r="AO16" i="17"/>
  <c r="AP16" i="17"/>
  <c r="AQ16" i="17"/>
  <c r="AR16" i="17"/>
  <c r="AS16" i="17"/>
  <c r="AT16" i="17"/>
  <c r="AU16" i="17"/>
  <c r="P17" i="17"/>
  <c r="Q17" i="17"/>
  <c r="R17" i="17"/>
  <c r="T17" i="17"/>
  <c r="W17" i="17"/>
  <c r="AB17" i="17"/>
  <c r="AC17" i="17"/>
  <c r="AD17" i="17"/>
  <c r="AF17" i="17"/>
  <c r="AN17" i="17"/>
  <c r="AO17" i="17"/>
  <c r="AP17" i="17"/>
  <c r="AR17" i="17"/>
  <c r="AU17" i="17"/>
  <c r="P18" i="17"/>
  <c r="Q18" i="17"/>
  <c r="R18" i="17"/>
  <c r="T18" i="17"/>
  <c r="AB18" i="17"/>
  <c r="AC18" i="17"/>
  <c r="AD18" i="17"/>
  <c r="AF18" i="17"/>
  <c r="AN18" i="17"/>
  <c r="AO18" i="17"/>
  <c r="AP18" i="17"/>
  <c r="AR18" i="17"/>
  <c r="AU18" i="17"/>
  <c r="P19" i="17"/>
  <c r="Q19" i="17"/>
  <c r="R19" i="17"/>
  <c r="T19" i="17"/>
  <c r="AB19" i="17"/>
  <c r="AC19" i="17"/>
  <c r="AD19" i="17"/>
  <c r="AF19" i="17"/>
  <c r="AN19" i="17"/>
  <c r="AO19" i="17"/>
  <c r="AP19" i="17"/>
  <c r="AR19" i="17"/>
  <c r="AU19" i="17"/>
  <c r="P20" i="17"/>
  <c r="Q20" i="17"/>
  <c r="R20" i="17"/>
  <c r="T20" i="17"/>
  <c r="AB20" i="17"/>
  <c r="AC20" i="17"/>
  <c r="AD20" i="17"/>
  <c r="AF20" i="17"/>
  <c r="AN20" i="17"/>
  <c r="AO20" i="17"/>
  <c r="AP20" i="17"/>
  <c r="AR20" i="17"/>
  <c r="AU20" i="17"/>
  <c r="T21" i="17"/>
  <c r="U21" i="17"/>
  <c r="W21" i="17"/>
  <c r="AI21" i="17"/>
  <c r="AN21" i="17"/>
  <c r="AO21" i="17"/>
  <c r="AP21" i="17"/>
  <c r="AQ21" i="17"/>
  <c r="AR21" i="17"/>
  <c r="AS21" i="17"/>
  <c r="AT21" i="17"/>
  <c r="AU21" i="17"/>
  <c r="F17" i="19"/>
  <c r="E17" i="19"/>
  <c r="D17" i="19"/>
  <c r="C17" i="19"/>
  <c r="F16" i="19"/>
  <c r="E16" i="19"/>
  <c r="D16" i="19"/>
  <c r="F15" i="19"/>
  <c r="E15" i="19"/>
  <c r="D15" i="19"/>
  <c r="C15" i="19"/>
  <c r="F14" i="19"/>
  <c r="E14" i="19"/>
  <c r="D14" i="19"/>
  <c r="I11" i="19"/>
  <c r="K11" i="19"/>
  <c r="D4" i="19"/>
  <c r="E4" i="19"/>
  <c r="G4" i="19"/>
  <c r="D5" i="19"/>
  <c r="E5" i="19"/>
  <c r="F5" i="19"/>
  <c r="G5" i="19"/>
  <c r="H5" i="19"/>
  <c r="I5" i="19"/>
  <c r="D6" i="19"/>
  <c r="E6" i="19"/>
  <c r="G6" i="19"/>
  <c r="D7" i="19"/>
  <c r="E7" i="19"/>
  <c r="G7" i="19"/>
  <c r="D8" i="19"/>
  <c r="E8" i="19"/>
  <c r="G8" i="19"/>
  <c r="D9" i="19"/>
  <c r="E9" i="19"/>
  <c r="G9" i="19"/>
  <c r="C5" i="19"/>
  <c r="C6" i="19"/>
  <c r="C7" i="19"/>
  <c r="C8" i="19"/>
  <c r="C9" i="19"/>
  <c r="C4" i="19"/>
  <c r="AR16" i="18"/>
  <c r="AS16" i="18"/>
  <c r="AR17" i="18"/>
  <c r="AS17" i="18"/>
  <c r="AR18" i="18"/>
  <c r="AS18" i="18"/>
  <c r="AR19" i="18"/>
  <c r="AR6" i="18"/>
  <c r="AS6" i="18"/>
  <c r="AR7" i="18"/>
  <c r="AS9" i="18"/>
  <c r="AR10" i="18"/>
  <c r="AM19" i="18"/>
  <c r="AN19" i="18"/>
  <c r="AM20" i="18"/>
  <c r="AN20" i="18"/>
  <c r="AN8" i="18"/>
  <c r="AM9" i="18"/>
  <c r="AN9" i="18"/>
  <c r="AM10" i="18"/>
  <c r="AN10" i="18"/>
  <c r="AN5" i="18"/>
  <c r="AM5" i="18"/>
  <c r="AC15" i="18"/>
  <c r="AD15" i="18"/>
  <c r="AE15" i="18"/>
  <c r="AF15" i="18"/>
  <c r="AG15" i="18"/>
  <c r="AH15" i="18"/>
  <c r="AI15" i="18"/>
  <c r="AC16" i="18"/>
  <c r="AD16" i="18"/>
  <c r="AE16" i="18"/>
  <c r="AF16" i="18"/>
  <c r="AG16" i="18"/>
  <c r="AH16" i="18"/>
  <c r="AI16" i="18"/>
  <c r="AD17" i="18"/>
  <c r="AE17" i="18"/>
  <c r="AF17" i="18"/>
  <c r="AG17" i="18"/>
  <c r="AH17" i="18"/>
  <c r="AI17" i="18"/>
  <c r="AC18" i="18"/>
  <c r="AD18" i="18"/>
  <c r="AE18" i="18"/>
  <c r="AF18" i="18"/>
  <c r="AG18" i="18"/>
  <c r="AH18" i="18"/>
  <c r="AI18" i="18"/>
  <c r="AC19" i="18"/>
  <c r="AD19" i="18"/>
  <c r="AE19" i="18"/>
  <c r="AF19" i="18"/>
  <c r="AG19" i="18"/>
  <c r="AH19" i="18"/>
  <c r="AI19" i="18"/>
  <c r="AC20" i="18"/>
  <c r="AD20" i="18"/>
  <c r="AE20" i="18"/>
  <c r="AF20" i="18"/>
  <c r="AG20" i="18"/>
  <c r="AH20" i="18"/>
  <c r="AI20" i="18"/>
  <c r="AB16" i="18"/>
  <c r="AB17" i="18"/>
  <c r="AB18" i="18"/>
  <c r="AB19" i="18"/>
  <c r="AB20" i="18"/>
  <c r="AB15" i="18"/>
  <c r="AC5" i="18"/>
  <c r="AD5" i="18"/>
  <c r="AE5" i="18"/>
  <c r="AF5" i="18"/>
  <c r="AG5" i="18"/>
  <c r="AH5" i="18"/>
  <c r="AI5" i="18"/>
  <c r="AC6" i="18"/>
  <c r="AD6" i="18"/>
  <c r="AE6" i="18"/>
  <c r="AF6" i="18"/>
  <c r="AG6" i="18"/>
  <c r="AH6" i="18"/>
  <c r="AI6" i="18"/>
  <c r="AD7" i="18"/>
  <c r="AE7" i="18"/>
  <c r="AF7" i="18"/>
  <c r="AG7" i="18"/>
  <c r="AH7" i="18"/>
  <c r="AI7" i="18"/>
  <c r="AC8" i="18"/>
  <c r="AD8" i="18"/>
  <c r="AE8" i="18"/>
  <c r="AF8" i="18"/>
  <c r="AG8" i="18"/>
  <c r="AH8" i="18"/>
  <c r="AI8" i="18"/>
  <c r="AC9" i="18"/>
  <c r="AD9" i="18"/>
  <c r="AE9" i="18"/>
  <c r="AF9" i="18"/>
  <c r="AG9" i="18"/>
  <c r="AH9" i="18"/>
  <c r="AI9" i="18"/>
  <c r="AC10" i="18"/>
  <c r="AD10" i="18"/>
  <c r="AE10" i="18"/>
  <c r="AF10" i="18"/>
  <c r="AG10" i="18"/>
  <c r="AH10" i="18"/>
  <c r="AI10" i="18"/>
  <c r="AB6" i="18"/>
  <c r="AB7" i="18"/>
  <c r="AB8" i="18"/>
  <c r="AB9" i="18"/>
  <c r="AB10" i="18"/>
  <c r="AB5" i="18"/>
  <c r="Q15" i="18"/>
  <c r="R15" i="18"/>
  <c r="S15" i="18"/>
  <c r="T15" i="18"/>
  <c r="U15" i="18"/>
  <c r="V15" i="18"/>
  <c r="W15" i="18"/>
  <c r="Q16" i="18"/>
  <c r="R16" i="18"/>
  <c r="S16" i="18"/>
  <c r="T16" i="18"/>
  <c r="U16" i="18"/>
  <c r="V16" i="18"/>
  <c r="W16" i="18"/>
  <c r="R17" i="18"/>
  <c r="S17" i="18"/>
  <c r="T17" i="18"/>
  <c r="U17" i="18"/>
  <c r="V17" i="18"/>
  <c r="W17" i="18"/>
  <c r="Q18" i="18"/>
  <c r="R18" i="18"/>
  <c r="S18" i="18"/>
  <c r="T18" i="18"/>
  <c r="U18" i="18"/>
  <c r="V18" i="18"/>
  <c r="W18" i="18"/>
  <c r="Q19" i="18"/>
  <c r="R19" i="18"/>
  <c r="S19" i="18"/>
  <c r="T19" i="18"/>
  <c r="U19" i="18"/>
  <c r="V19" i="18"/>
  <c r="W19" i="18"/>
  <c r="Q20" i="18"/>
  <c r="R20" i="18"/>
  <c r="S20" i="18"/>
  <c r="T20" i="18"/>
  <c r="U20" i="18"/>
  <c r="V20" i="18"/>
  <c r="W20" i="18"/>
  <c r="P16" i="18"/>
  <c r="P17" i="18"/>
  <c r="P18" i="18"/>
  <c r="P19" i="18"/>
  <c r="P20" i="18"/>
  <c r="P15" i="18"/>
  <c r="W10" i="18"/>
  <c r="V10" i="18"/>
  <c r="U10" i="18"/>
  <c r="T10" i="18"/>
  <c r="S10" i="18"/>
  <c r="R10" i="18"/>
  <c r="Q10" i="18"/>
  <c r="W9" i="18"/>
  <c r="V9" i="18"/>
  <c r="U9" i="18"/>
  <c r="T9" i="18"/>
  <c r="S9" i="18"/>
  <c r="R9" i="18"/>
  <c r="Q9" i="18"/>
  <c r="W8" i="18"/>
  <c r="V8" i="18"/>
  <c r="U8" i="18"/>
  <c r="T8" i="18"/>
  <c r="S8" i="18"/>
  <c r="R8" i="18"/>
  <c r="Q8" i="18"/>
  <c r="W7" i="18"/>
  <c r="V7" i="18"/>
  <c r="U7" i="18"/>
  <c r="T7" i="18"/>
  <c r="S7" i="18"/>
  <c r="R7" i="18"/>
  <c r="W6" i="18"/>
  <c r="V6" i="18"/>
  <c r="U6" i="18"/>
  <c r="T6" i="18"/>
  <c r="S6" i="18"/>
  <c r="R6" i="18"/>
  <c r="Q6" i="18"/>
  <c r="W5" i="18"/>
  <c r="V5" i="18"/>
  <c r="U5" i="18"/>
  <c r="T5" i="18"/>
  <c r="S5" i="18"/>
  <c r="R5" i="18"/>
  <c r="Q5" i="18"/>
  <c r="P6" i="18"/>
  <c r="P7" i="18"/>
  <c r="P8" i="18"/>
  <c r="P9" i="18"/>
  <c r="P10" i="18"/>
  <c r="P5" i="18"/>
  <c r="J10" i="18"/>
  <c r="AX26" i="18"/>
  <c r="AW26" i="18"/>
  <c r="K10" i="18"/>
  <c r="I10" i="18"/>
  <c r="H10" i="18"/>
  <c r="G10" i="18"/>
  <c r="F10" i="18"/>
  <c r="E10" i="18"/>
  <c r="D10" i="18"/>
  <c r="C10" i="18"/>
  <c r="B10" i="18"/>
  <c r="K9" i="18"/>
  <c r="J9" i="18"/>
  <c r="K8" i="18"/>
  <c r="J8" i="18"/>
  <c r="K7" i="18"/>
  <c r="J7" i="18"/>
  <c r="K6" i="18"/>
  <c r="J6" i="18"/>
  <c r="K5" i="18"/>
  <c r="J5" i="18"/>
  <c r="K4" i="18"/>
  <c r="J4" i="18"/>
  <c r="AU11" i="17"/>
  <c r="AU6" i="17"/>
  <c r="AU7" i="17"/>
  <c r="AU8" i="17"/>
  <c r="AU9" i="17"/>
  <c r="AU10" i="17"/>
  <c r="AU5" i="17"/>
  <c r="AO5" i="17"/>
  <c r="AP5" i="17"/>
  <c r="AR5" i="17"/>
  <c r="AO6" i="17"/>
  <c r="AP6" i="17"/>
  <c r="AQ6" i="17"/>
  <c r="AR6" i="17"/>
  <c r="AS6" i="17"/>
  <c r="AT6" i="17"/>
  <c r="AO7" i="17"/>
  <c r="AP7" i="17"/>
  <c r="AR7" i="17"/>
  <c r="AO8" i="17"/>
  <c r="AP8" i="17"/>
  <c r="AR8" i="17"/>
  <c r="AO9" i="17"/>
  <c r="AP9" i="17"/>
  <c r="AR9" i="17"/>
  <c r="AO10" i="17"/>
  <c r="AP10" i="17"/>
  <c r="AR10" i="17"/>
  <c r="AN6" i="17"/>
  <c r="AN7" i="17"/>
  <c r="AN8" i="17"/>
  <c r="AN9" i="17"/>
  <c r="AN10" i="17"/>
  <c r="AN5" i="17"/>
  <c r="AI11" i="17"/>
  <c r="AC5" i="17"/>
  <c r="AD5" i="17"/>
  <c r="AF5" i="17"/>
  <c r="AC6" i="17"/>
  <c r="AD6" i="17"/>
  <c r="AE6" i="17"/>
  <c r="AF6" i="17"/>
  <c r="AG6" i="17"/>
  <c r="AH6" i="17"/>
  <c r="AC7" i="17"/>
  <c r="AD7" i="17"/>
  <c r="AF7" i="17"/>
  <c r="AC8" i="17"/>
  <c r="AD8" i="17"/>
  <c r="AF8" i="17"/>
  <c r="AC9" i="17"/>
  <c r="AD9" i="17"/>
  <c r="AF9" i="17"/>
  <c r="AC10" i="17"/>
  <c r="AD10" i="17"/>
  <c r="AF10" i="17"/>
  <c r="AC11" i="17"/>
  <c r="AD11" i="17"/>
  <c r="AB6" i="17"/>
  <c r="AB7" i="17"/>
  <c r="AB8" i="17"/>
  <c r="AB9" i="17"/>
  <c r="AB10" i="17"/>
  <c r="AB5" i="17"/>
  <c r="W11" i="17"/>
  <c r="W6" i="17"/>
  <c r="W7" i="17"/>
  <c r="W9" i="17"/>
  <c r="W5" i="17"/>
  <c r="Q5" i="17"/>
  <c r="R5" i="17"/>
  <c r="T5" i="17"/>
  <c r="Q6" i="17"/>
  <c r="R6" i="17"/>
  <c r="S6" i="17"/>
  <c r="T6" i="17"/>
  <c r="U6" i="17"/>
  <c r="V6" i="17"/>
  <c r="Q7" i="17"/>
  <c r="R7" i="17"/>
  <c r="T7" i="17"/>
  <c r="Q8" i="17"/>
  <c r="R8" i="17"/>
  <c r="T8" i="17"/>
  <c r="Q9" i="17"/>
  <c r="R9" i="17"/>
  <c r="T9" i="17"/>
  <c r="Q10" i="17"/>
  <c r="R10" i="17"/>
  <c r="T10" i="17"/>
  <c r="V11" i="17"/>
  <c r="P6" i="17"/>
  <c r="P7" i="17"/>
  <c r="P8" i="17"/>
  <c r="P9" i="17"/>
  <c r="P10" i="17"/>
  <c r="P5" i="17"/>
  <c r="O30" i="17"/>
  <c r="O27" i="17"/>
  <c r="O26" i="17"/>
  <c r="O25" i="17"/>
  <c r="O24" i="17"/>
  <c r="O23" i="17"/>
  <c r="I10" i="17"/>
  <c r="H10" i="17"/>
  <c r="G10" i="17"/>
  <c r="F10" i="17"/>
  <c r="E10" i="17"/>
  <c r="D10" i="17"/>
  <c r="C10" i="17"/>
  <c r="B10" i="17"/>
  <c r="K9" i="17"/>
  <c r="J9" i="17"/>
  <c r="K8" i="17"/>
  <c r="J8" i="17"/>
  <c r="K7" i="17"/>
  <c r="J7" i="17"/>
  <c r="J10" i="17" s="1"/>
  <c r="K6" i="17"/>
  <c r="J6" i="17"/>
  <c r="K5" i="17"/>
  <c r="J5" i="17"/>
  <c r="K4" i="17"/>
  <c r="K10" i="17" s="1"/>
  <c r="J4" i="17"/>
  <c r="Q8" i="9"/>
  <c r="P8" i="9"/>
  <c r="O8" i="9"/>
  <c r="N8" i="9"/>
  <c r="M8" i="9"/>
  <c r="Q7" i="9"/>
  <c r="P7" i="9"/>
  <c r="O7" i="9"/>
  <c r="N7" i="9"/>
  <c r="M7" i="9"/>
  <c r="V5" i="6"/>
  <c r="U5" i="6"/>
  <c r="T5" i="6"/>
  <c r="S5" i="6"/>
  <c r="R5" i="6"/>
  <c r="Q5" i="6"/>
  <c r="P5" i="6"/>
  <c r="O5" i="6"/>
  <c r="X4" i="6"/>
  <c r="W4" i="6"/>
  <c r="V4" i="6"/>
  <c r="U4" i="6"/>
  <c r="T4" i="6"/>
  <c r="S4" i="6"/>
  <c r="R4" i="6"/>
  <c r="Q4" i="6"/>
  <c r="P4" i="6"/>
  <c r="O4" i="6"/>
  <c r="L48" i="6"/>
  <c r="K48" i="6"/>
  <c r="L47" i="6"/>
  <c r="K47" i="6"/>
  <c r="L46" i="6"/>
  <c r="K46" i="6"/>
  <c r="L45" i="6"/>
  <c r="K45" i="6"/>
  <c r="L44" i="6"/>
  <c r="K44" i="6"/>
  <c r="L43" i="6"/>
  <c r="K43" i="6"/>
  <c r="L35" i="6"/>
  <c r="K35" i="6"/>
  <c r="L34" i="6"/>
  <c r="K34" i="6"/>
  <c r="L33" i="6"/>
  <c r="K33" i="6"/>
  <c r="L32" i="6"/>
  <c r="K32" i="6"/>
  <c r="L31" i="6"/>
  <c r="K31" i="6"/>
  <c r="L30" i="6"/>
  <c r="K30" i="6"/>
  <c r="L22" i="6"/>
  <c r="K22" i="6"/>
  <c r="L21" i="6"/>
  <c r="K21" i="6"/>
  <c r="L20" i="6"/>
  <c r="K20" i="6"/>
  <c r="L19" i="6"/>
  <c r="K19" i="6"/>
  <c r="L18" i="6"/>
  <c r="K18" i="6"/>
  <c r="L17" i="6"/>
  <c r="X5" i="6" s="1"/>
  <c r="K17" i="6"/>
  <c r="W5" i="6" s="1"/>
  <c r="L9" i="6"/>
  <c r="K9" i="6"/>
  <c r="L8" i="6"/>
  <c r="K8" i="6"/>
  <c r="L7" i="6"/>
  <c r="K7" i="6"/>
  <c r="L6" i="6"/>
  <c r="K6" i="6"/>
  <c r="L5" i="6"/>
  <c r="K5" i="6"/>
  <c r="L4" i="6"/>
  <c r="K4" i="6"/>
  <c r="V5" i="4"/>
  <c r="U5" i="4"/>
  <c r="T5" i="4"/>
  <c r="S5" i="4"/>
  <c r="R5" i="4"/>
  <c r="Q5" i="4"/>
  <c r="P5" i="4"/>
  <c r="O5" i="4"/>
  <c r="X4" i="4"/>
  <c r="W4" i="4"/>
  <c r="V4" i="4"/>
  <c r="U4" i="4"/>
  <c r="T4" i="4"/>
  <c r="S4" i="4"/>
  <c r="R4" i="4"/>
  <c r="Q4" i="4"/>
  <c r="P4" i="4"/>
  <c r="O4" i="4"/>
  <c r="L48" i="4"/>
  <c r="AS20" i="18" s="1"/>
  <c r="K48" i="4"/>
  <c r="AR20" i="18" s="1"/>
  <c r="L47" i="4"/>
  <c r="AS19" i="18" s="1"/>
  <c r="K47" i="4"/>
  <c r="L46" i="4"/>
  <c r="K46" i="4"/>
  <c r="L45" i="4"/>
  <c r="K45" i="4"/>
  <c r="L44" i="4"/>
  <c r="K44" i="4"/>
  <c r="L43" i="4"/>
  <c r="AS15" i="18" s="1"/>
  <c r="K43" i="4"/>
  <c r="AR15" i="18" s="1"/>
  <c r="L35" i="4"/>
  <c r="AS10" i="18" s="1"/>
  <c r="K35" i="4"/>
  <c r="L34" i="4"/>
  <c r="K34" i="4"/>
  <c r="AR9" i="18" s="1"/>
  <c r="L33" i="4"/>
  <c r="AS8" i="18" s="1"/>
  <c r="K33" i="4"/>
  <c r="AR11" i="18" s="1"/>
  <c r="L32" i="4"/>
  <c r="AS7" i="18" s="1"/>
  <c r="K32" i="4"/>
  <c r="L31" i="4"/>
  <c r="K31" i="4"/>
  <c r="L30" i="4"/>
  <c r="AN27" i="18" s="1"/>
  <c r="K30" i="4"/>
  <c r="AM27" i="18" s="1"/>
  <c r="L22" i="4"/>
  <c r="K22" i="4"/>
  <c r="L21" i="4"/>
  <c r="K21" i="4"/>
  <c r="L20" i="4"/>
  <c r="AN18" i="18" s="1"/>
  <c r="K20" i="4"/>
  <c r="AM18" i="18" s="1"/>
  <c r="L19" i="4"/>
  <c r="AN17" i="18" s="1"/>
  <c r="K19" i="4"/>
  <c r="AM17" i="18" s="1"/>
  <c r="L18" i="4"/>
  <c r="AN16" i="18" s="1"/>
  <c r="K18" i="4"/>
  <c r="AM16" i="18" s="1"/>
  <c r="L17" i="4"/>
  <c r="AN21" i="18" s="1"/>
  <c r="K17" i="4"/>
  <c r="AM15" i="18" s="1"/>
  <c r="L9" i="4"/>
  <c r="K9" i="4"/>
  <c r="L8" i="4"/>
  <c r="K8" i="4"/>
  <c r="L7" i="4"/>
  <c r="K7" i="4"/>
  <c r="AM8" i="18" s="1"/>
  <c r="L6" i="4"/>
  <c r="AN7" i="18" s="1"/>
  <c r="K6" i="4"/>
  <c r="AM7" i="18" s="1"/>
  <c r="L5" i="4"/>
  <c r="AN6" i="18" s="1"/>
  <c r="K5" i="4"/>
  <c r="AM6" i="18" s="1"/>
  <c r="L4" i="4"/>
  <c r="AN11" i="18" s="1"/>
  <c r="K4" i="4"/>
  <c r="AM11" i="18" s="1"/>
  <c r="Q5" i="2"/>
  <c r="P5" i="2"/>
  <c r="O5" i="2"/>
  <c r="N5" i="2"/>
  <c r="M5" i="2"/>
  <c r="Q4" i="2"/>
  <c r="P4" i="2"/>
  <c r="O4" i="2"/>
  <c r="N4" i="2"/>
  <c r="M4" i="2"/>
  <c r="C11" i="9"/>
  <c r="D11" i="19" s="1"/>
  <c r="D11" i="2"/>
  <c r="R11" i="17" s="1"/>
  <c r="H50" i="2"/>
  <c r="AH21" i="17" s="1"/>
  <c r="G50" i="2"/>
  <c r="AG21" i="17" s="1"/>
  <c r="F50" i="2"/>
  <c r="AF21" i="17" s="1"/>
  <c r="E50" i="2"/>
  <c r="AE21" i="17" s="1"/>
  <c r="D50" i="2"/>
  <c r="AD21" i="17" s="1"/>
  <c r="C50" i="2"/>
  <c r="AC21" i="17" s="1"/>
  <c r="B50" i="2"/>
  <c r="AB21" i="17" s="1"/>
  <c r="J48" i="2"/>
  <c r="AI20" i="17" s="1"/>
  <c r="J47" i="2"/>
  <c r="AI19" i="17" s="1"/>
  <c r="J46" i="2"/>
  <c r="AI18" i="17" s="1"/>
  <c r="J45" i="2"/>
  <c r="AI17" i="17" s="1"/>
  <c r="J44" i="2"/>
  <c r="AI16" i="17" s="1"/>
  <c r="J43" i="2"/>
  <c r="AI15" i="17" s="1"/>
  <c r="H24" i="2"/>
  <c r="V21" i="17" s="1"/>
  <c r="G24" i="2"/>
  <c r="F24" i="2"/>
  <c r="E24" i="2"/>
  <c r="S21" i="17" s="1"/>
  <c r="D24" i="2"/>
  <c r="R21" i="17" s="1"/>
  <c r="C24" i="2"/>
  <c r="Q21" i="17" s="1"/>
  <c r="B24" i="2"/>
  <c r="P21" i="17" s="1"/>
  <c r="J22" i="2"/>
  <c r="W20" i="17" s="1"/>
  <c r="J21" i="2"/>
  <c r="W19" i="17" s="1"/>
  <c r="J20" i="2"/>
  <c r="W18" i="17" s="1"/>
  <c r="J19" i="2"/>
  <c r="J18" i="2"/>
  <c r="W16" i="17" s="1"/>
  <c r="J17" i="2"/>
  <c r="W15" i="17" s="1"/>
  <c r="H50" i="9"/>
  <c r="G50" i="9"/>
  <c r="F50" i="9"/>
  <c r="E50" i="9"/>
  <c r="D50" i="9"/>
  <c r="C50" i="9"/>
  <c r="B50" i="9"/>
  <c r="J48" i="9"/>
  <c r="J47" i="9"/>
  <c r="J46" i="9"/>
  <c r="J45" i="9"/>
  <c r="J44" i="9"/>
  <c r="J43" i="9"/>
  <c r="H37" i="9"/>
  <c r="G37" i="9"/>
  <c r="F37" i="9"/>
  <c r="E37" i="9"/>
  <c r="D37" i="9"/>
  <c r="C37" i="9"/>
  <c r="B37" i="9"/>
  <c r="J35" i="9"/>
  <c r="J34" i="9"/>
  <c r="J33" i="9"/>
  <c r="J32" i="9"/>
  <c r="J31" i="9"/>
  <c r="J30" i="9"/>
  <c r="H24" i="9"/>
  <c r="G24" i="9"/>
  <c r="F24" i="9"/>
  <c r="E24" i="9"/>
  <c r="D24" i="9"/>
  <c r="C24" i="9"/>
  <c r="B24" i="9"/>
  <c r="J22" i="9"/>
  <c r="J21" i="9"/>
  <c r="J20" i="9"/>
  <c r="J19" i="9"/>
  <c r="J18" i="9"/>
  <c r="J17" i="9"/>
  <c r="H11" i="9"/>
  <c r="G11" i="9"/>
  <c r="H11" i="19" s="1"/>
  <c r="F11" i="9"/>
  <c r="G11" i="19" s="1"/>
  <c r="E11" i="9"/>
  <c r="F11" i="19" s="1"/>
  <c r="D11" i="9"/>
  <c r="E11" i="19" s="1"/>
  <c r="B11" i="9"/>
  <c r="C11" i="19" s="1"/>
  <c r="J9" i="9"/>
  <c r="K9" i="19" s="1"/>
  <c r="J8" i="9"/>
  <c r="K8" i="19" s="1"/>
  <c r="J6" i="9"/>
  <c r="K6" i="19" s="1"/>
  <c r="J5" i="9"/>
  <c r="K5" i="19" s="1"/>
  <c r="J4" i="9"/>
  <c r="K4" i="19" s="1"/>
  <c r="B11" i="6"/>
  <c r="I50" i="6"/>
  <c r="H50" i="6"/>
  <c r="G50" i="6"/>
  <c r="F50" i="6"/>
  <c r="E50" i="6"/>
  <c r="D50" i="6"/>
  <c r="C50" i="6"/>
  <c r="B50" i="6"/>
  <c r="I37" i="6"/>
  <c r="H37" i="6"/>
  <c r="G37" i="6"/>
  <c r="F37" i="6"/>
  <c r="E37" i="6"/>
  <c r="D37" i="6"/>
  <c r="C37" i="6"/>
  <c r="B37" i="6"/>
  <c r="I24" i="6"/>
  <c r="H24" i="6"/>
  <c r="G24" i="6"/>
  <c r="F24" i="6"/>
  <c r="E24" i="6"/>
  <c r="D24" i="6"/>
  <c r="C24" i="6"/>
  <c r="B24" i="6"/>
  <c r="I11" i="6"/>
  <c r="H11" i="6"/>
  <c r="G11" i="6"/>
  <c r="F11" i="6"/>
  <c r="E11" i="6"/>
  <c r="D11" i="6"/>
  <c r="C11" i="6"/>
  <c r="I50" i="4"/>
  <c r="H50" i="4"/>
  <c r="G50" i="4"/>
  <c r="F50" i="4"/>
  <c r="E50" i="4"/>
  <c r="D50" i="4"/>
  <c r="C50" i="4"/>
  <c r="B50" i="4"/>
  <c r="I37" i="4"/>
  <c r="H37" i="4"/>
  <c r="G37" i="4"/>
  <c r="F37" i="4"/>
  <c r="E37" i="4"/>
  <c r="D37" i="4"/>
  <c r="C37" i="4"/>
  <c r="B37" i="4"/>
  <c r="I24" i="4"/>
  <c r="H24" i="4"/>
  <c r="G24" i="4"/>
  <c r="F24" i="4"/>
  <c r="E24" i="4"/>
  <c r="D24" i="4"/>
  <c r="C24" i="4"/>
  <c r="B24" i="4"/>
  <c r="I11" i="4"/>
  <c r="H11" i="4"/>
  <c r="G11" i="4"/>
  <c r="F11" i="4"/>
  <c r="E11" i="4"/>
  <c r="D11" i="4"/>
  <c r="C11" i="4"/>
  <c r="B11" i="4"/>
  <c r="H37" i="2"/>
  <c r="AH11" i="17" s="1"/>
  <c r="G37" i="2"/>
  <c r="AG11" i="17" s="1"/>
  <c r="F37" i="2"/>
  <c r="AF11" i="17" s="1"/>
  <c r="E37" i="2"/>
  <c r="AE11" i="17" s="1"/>
  <c r="D37" i="2"/>
  <c r="C37" i="2"/>
  <c r="B37" i="2"/>
  <c r="AB11" i="17" s="1"/>
  <c r="J35" i="2"/>
  <c r="AI10" i="17" s="1"/>
  <c r="J34" i="2"/>
  <c r="AI9" i="17" s="1"/>
  <c r="J33" i="2"/>
  <c r="AI8" i="17" s="1"/>
  <c r="J32" i="2"/>
  <c r="AI7" i="17" s="1"/>
  <c r="J31" i="2"/>
  <c r="AI6" i="17" s="1"/>
  <c r="J30" i="2"/>
  <c r="AI5" i="17" s="1"/>
  <c r="H11" i="2"/>
  <c r="G11" i="2"/>
  <c r="F11" i="2"/>
  <c r="E11" i="2"/>
  <c r="C11" i="2"/>
  <c r="Q11" i="17" s="1"/>
  <c r="B11" i="2"/>
  <c r="J9" i="2"/>
  <c r="W10" i="17" s="1"/>
  <c r="J8" i="2"/>
  <c r="J6" i="2"/>
  <c r="J5" i="2"/>
  <c r="J4" i="2"/>
  <c r="AR8" i="18" l="1"/>
  <c r="X5" i="4"/>
  <c r="AR21" i="18"/>
  <c r="AS21" i="18"/>
  <c r="AM24" i="18"/>
  <c r="AS11" i="18"/>
  <c r="AM21" i="18"/>
  <c r="AM26" i="18"/>
  <c r="AR5" i="18"/>
  <c r="AN15" i="18"/>
  <c r="W5" i="4"/>
  <c r="AN24" i="18"/>
  <c r="AN26" i="18"/>
  <c r="AS5" i="18"/>
  <c r="AR11" i="17"/>
  <c r="AN11" i="17"/>
  <c r="AS11" i="17"/>
  <c r="AQ11" i="17"/>
  <c r="AT11" i="17"/>
  <c r="S11" i="17"/>
  <c r="AP11" i="17"/>
  <c r="AO11" i="17"/>
  <c r="P11" i="17"/>
  <c r="U11" i="17"/>
  <c r="T11" i="17"/>
  <c r="AW25" i="18"/>
  <c r="AX25" i="18"/>
  <c r="J7" i="9"/>
  <c r="K7" i="19" s="1"/>
  <c r="J7" i="2"/>
  <c r="W8" i="17" s="1"/>
  <c r="AX23" i="18" l="1"/>
  <c r="AW2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tc={EFB6AEAF-0249-4B86-AB73-9A3BBBCA5A90}</author>
    <author>tc={8DE8F51D-C348-4C46-A9E3-069C9B7BDEE0}</author>
    <author>tc={CD9E9C24-F1B5-447E-9CE7-597C21DE0851}</author>
  </authors>
  <commentList>
    <comment ref="C6" authorId="0" shapeId="0" xr:uid="{EFB6AEAF-0249-4B86-AB73-9A3BBBCA5A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gibt eine Beziehung und diese ist richtig dargestellt. Ergebnismenge verlangt aber keine</t>
      </text>
    </comment>
    <comment ref="B19" authorId="1" shapeId="0" xr:uid="{8DE8F51D-C348-4C46-A9E3-069C9B7BDEE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Sehr gutes Modell, auch mit Erweiterungen, die sehr sinnvoll wären</t>
      </text>
    </comment>
    <comment ref="B30" authorId="2" shapeId="0" xr:uid="{CD9E9C24-F1B5-447E-9CE7-597C21DE08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Es wurde unter anderem Worker/Individual modelliert. Hinweis darauf, dass sich SLM schwer tut Grenzen, was modelliert werden muss , zu ziehen.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tc={D141B81C-1570-4F3D-9A2F-CED5B57568DF}</author>
  </authors>
  <commentList>
    <comment ref="E5" authorId="0" shapeId="0" xr:uid="{D141B81C-1570-4F3D-9A2F-CED5B57568D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Aufgrund der schlechten AND-Relationsships ist das Modell schwer zu durchdringen</t>
      </text>
    </comment>
  </commentList>
</comments>
</file>

<file path=xl/sharedStrings.xml><?xml version="1.0" encoding="utf-8"?>
<sst xmlns="http://schemas.openxmlformats.org/spreadsheetml/2006/main" count="559" uniqueCount="72">
  <si>
    <t>controlled_qwen_4b</t>
  </si>
  <si>
    <t>S1</t>
  </si>
  <si>
    <t>S2</t>
  </si>
  <si>
    <t>S3.1</t>
  </si>
  <si>
    <t>S3.2</t>
  </si>
  <si>
    <t>S4.1</t>
  </si>
  <si>
    <t>S4.2</t>
  </si>
  <si>
    <t>S4.3</t>
  </si>
  <si>
    <t>ARM</t>
  </si>
  <si>
    <t>BPM</t>
  </si>
  <si>
    <t>CM</t>
  </si>
  <si>
    <t>GM</t>
  </si>
  <si>
    <t>PM</t>
  </si>
  <si>
    <t>TRM</t>
  </si>
  <si>
    <t>controlled_qwen_9b</t>
  </si>
  <si>
    <t>organized_qwen_4b</t>
  </si>
  <si>
    <t>organized_qwen_9b</t>
  </si>
  <si>
    <t>S3</t>
  </si>
  <si>
    <t>S4</t>
  </si>
  <si>
    <t>Gesamt</t>
  </si>
  <si>
    <t>Component</t>
  </si>
  <si>
    <t>Relation</t>
  </si>
  <si>
    <t>S1 Konzepte</t>
  </si>
  <si>
    <t>S1 Relationen</t>
  </si>
  <si>
    <t>S2 Konzepte</t>
  </si>
  <si>
    <t>S2 Relationen</t>
  </si>
  <si>
    <t>S3 Konzepte</t>
  </si>
  <si>
    <t>S3 Relationen</t>
  </si>
  <si>
    <t>S4 Konzepte</t>
  </si>
  <si>
    <t>S4 Relationen</t>
  </si>
  <si>
    <t>Gesamt Konzepte</t>
  </si>
  <si>
    <t>Gesamt Relationen</t>
  </si>
  <si>
    <t>Soll-Werte</t>
  </si>
  <si>
    <t>Importierbarkeit</t>
  </si>
  <si>
    <t>Modell</t>
  </si>
  <si>
    <t>S1 components</t>
  </si>
  <si>
    <t>S1 relationships</t>
  </si>
  <si>
    <t>S2 components</t>
  </si>
  <si>
    <t>S2 relationships</t>
  </si>
  <si>
    <t>S3 components</t>
  </si>
  <si>
    <t>S3 relationships</t>
  </si>
  <si>
    <t>S4 components</t>
  </si>
  <si>
    <t>S4 relationships</t>
  </si>
  <si>
    <t>Components</t>
  </si>
  <si>
    <t>Relations</t>
  </si>
  <si>
    <t>Gemma e4b</t>
  </si>
  <si>
    <t>Controlled</t>
  </si>
  <si>
    <t>Organized</t>
  </si>
  <si>
    <t>Summe</t>
  </si>
  <si>
    <t>Intermodel</t>
  </si>
  <si>
    <t>Gemma 26b</t>
  </si>
  <si>
    <t>Gesamt Controlled</t>
  </si>
  <si>
    <t>Gesamt Organized</t>
  </si>
  <si>
    <t>Gesamt LLM</t>
  </si>
  <si>
    <t>Completness of models (organized and controlled)</t>
  </si>
  <si>
    <t>LLM</t>
  </si>
  <si>
    <t>…</t>
  </si>
  <si>
    <t>4b controlled</t>
  </si>
  <si>
    <t>Durchschnitt</t>
  </si>
  <si>
    <t>Controlled Qwen 4b</t>
  </si>
  <si>
    <t>Controlled Qwen 9b</t>
  </si>
  <si>
    <t>Organized Qwen 4b</t>
  </si>
  <si>
    <t>Organized Qwen 9b</t>
  </si>
  <si>
    <t>Qwen 4b controlled</t>
  </si>
  <si>
    <t>Qwen 9b controlled</t>
  </si>
  <si>
    <t>Qwen 4b organized</t>
  </si>
  <si>
    <t>Qwen 9b organized</t>
  </si>
  <si>
    <t>Gesamt 4b</t>
  </si>
  <si>
    <t>Gesamt 9b</t>
  </si>
  <si>
    <t>9b controlled</t>
  </si>
  <si>
    <t>4b</t>
  </si>
  <si>
    <t>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</si>
</sst>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sz val="11"/>
      <color theme="1"/>
      <name val="Calibri"/>
    </font>
    <font>
      <sz val="11"/>
      <color rgb="FF006100"/>
      <name val="Calibri"/>
    </font>
    <font>
      <sz val="11"/>
      <name val="Carlito"/>
    </font>
    <font>
      <b/>
      <sz val="11"/>
      <color theme="1"/>
      <name val="Calibri"/>
      <family val="2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2" fillId="2" borderId="1" applyProtection="0"/>
    <xf numFmtId="0" fontId="3" fillId="4" borderId="0" applyNumberFormat="0" applyBorder="0" applyAlignment="0" applyProtection="0"/>
    <xf numFmtId="0" fontId="4" fillId="0" borderId="0"/>
    <xf numFmtId="0" fontId="4" fillId="6" borderId="1" applyProtection="0"/>
    <xf numFmtId="0" fontId="5" fillId="4" borderId="0" applyNumberFormat="0" applyBorder="0" applyAlignment="0" applyProtection="0"/>
    <xf numFmtId="0" fontId="6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3" borderId="0" xfId="0" applyFill="1"/>
    <xf numFmtId="0" fontId="0" fillId="5" borderId="0" xfId="0" applyFill="1"/>
    <xf numFmtId="0" fontId="3" fillId="4" borderId="0" xfId="2"/>
    <xf numFmtId="0" fontId="4" fillId="0" borderId="0" xfId="3"/>
    <xf numFmtId="0" fontId="5" fillId="4" borderId="0" xfId="5"/>
    <xf numFmtId="0" fontId="5" fillId="0" borderId="0" xfId="5" applyFill="1"/>
    <xf numFmtId="0" fontId="5" fillId="3" borderId="0" xfId="5" applyFill="1"/>
    <xf numFmtId="0" fontId="7" fillId="0" borderId="0" xfId="0" applyFont="1"/>
    <xf numFmtId="9" fontId="0" fillId="0" borderId="0" xfId="7" applyFont="1"/>
    <xf numFmtId="9" fontId="7" fillId="0" borderId="0" xfId="7" applyFont="1"/>
    <xf numFmtId="0" fontId="8" fillId="0" borderId="0" xfId="0" applyFont="1"/>
    <xf numFmtId="164" fontId="0" fillId="0" borderId="0" xfId="0" applyNumberFormat="1"/>
  </cellXfs>
  <cellStyles count="8">
    <cellStyle name="Excel Built-in Note" xfId="1" xr:uid="{00000000-0005-0000-0000-000006000000}"/>
    <cellStyle name="Excel Built-in Note 2" xfId="4" xr:uid="{A051896C-3EFB-4CEA-BA45-9A3C5A7F6C3D}"/>
    <cellStyle name="Gut" xfId="2" builtinId="26"/>
    <cellStyle name="Gut 2" xfId="5" xr:uid="{F755D48F-01AA-4FFF-AAAD-C820DE058CAA}"/>
    <cellStyle name="Normal" xfId="6" xr:uid="{6A3AE685-F6E6-4EB0-AD74-E0E301421897}"/>
    <cellStyle name="Prozent" xfId="7" builtinId="5"/>
    <cellStyle name="Standard" xfId="0" builtinId="0"/>
    <cellStyle name="Standard 2" xfId="3" xr:uid="{F8999B3C-F8A1-4B52-8968-03F85143E7F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Importierbarkeit Qwen 4b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Diagramme_Importierbarkeit!$O$5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(Diagramme_Importierbarkeit!$W$4,Diagramme_Importierbarkeit!$AI$4)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(Diagramme_Importierbarkeit!$W$5,Diagramme_Importierbarkeit!$AI$5)</c:f>
              <c:numCache>
                <c:formatCode>0%</c:formatCode>
                <c:ptCount val="2"/>
                <c:pt idx="0">
                  <c:v>0.83333333333333337</c:v>
                </c:pt>
                <c:pt idx="1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E-434C-A353-864CE35FCB31}"/>
            </c:ext>
          </c:extLst>
        </c:ser>
        <c:ser>
          <c:idx val="1"/>
          <c:order val="1"/>
          <c:tx>
            <c:strRef>
              <c:f>Diagramme_Importierbarkeit!$O$6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(Diagramme_Importierbarkeit!$W$4,Diagramme_Importierbarkeit!$AI$4)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(Diagramme_Importierbarkeit!$W$6,Diagramme_Importierbarkeit!$AI$6)</c:f>
              <c:numCache>
                <c:formatCode>0%</c:formatCode>
                <c:ptCount val="2"/>
                <c:pt idx="0">
                  <c:v>1</c:v>
                </c:pt>
                <c:pt idx="1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E-434C-A353-864CE35FCB31}"/>
            </c:ext>
          </c:extLst>
        </c:ser>
        <c:ser>
          <c:idx val="2"/>
          <c:order val="2"/>
          <c:tx>
            <c:strRef>
              <c:f>Diagramme_Importierbarkeit!$O$7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(Diagramme_Importierbarkeit!$W$4,Diagramme_Importierbarkeit!$AI$4)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(Diagramme_Importierbarkeit!$W$7,Diagramme_Importierbarkeit!$AI$7)</c:f>
              <c:numCache>
                <c:formatCode>0%</c:formatCode>
                <c:ptCount val="2"/>
                <c:pt idx="0">
                  <c:v>0.91666666666666663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BE-434C-A353-864CE35FCB31}"/>
            </c:ext>
          </c:extLst>
        </c:ser>
        <c:ser>
          <c:idx val="3"/>
          <c:order val="3"/>
          <c:tx>
            <c:strRef>
              <c:f>Diagramme_Importierbarkeit!$O$8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(Diagramme_Importierbarkeit!$W$4,Diagramme_Importierbarkeit!$AI$4)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(Diagramme_Importierbarkeit!$W$8,Diagramme_Importierbarkeit!$AI$8)</c:f>
              <c:numCache>
                <c:formatCode>0%</c:formatCode>
                <c:ptCount val="2"/>
                <c:pt idx="0">
                  <c:v>0.75</c:v>
                </c:pt>
                <c:pt idx="1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BE-434C-A353-864CE35FCB31}"/>
            </c:ext>
          </c:extLst>
        </c:ser>
        <c:ser>
          <c:idx val="4"/>
          <c:order val="4"/>
          <c:tx>
            <c:strRef>
              <c:f>Diagramme_Importierbarkeit!$O$9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(Diagramme_Importierbarkeit!$W$4,Diagramme_Importierbarkeit!$AI$4)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(Diagramme_Importierbarkeit!$W$9,Diagramme_Importierbarkeit!$AI$9)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BE-434C-A353-864CE35FCB31}"/>
            </c:ext>
          </c:extLst>
        </c:ser>
        <c:ser>
          <c:idx val="5"/>
          <c:order val="5"/>
          <c:tx>
            <c:strRef>
              <c:f>Diagramme_Importierbarkeit!$O$10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(Diagramme_Importierbarkeit!$W$4,Diagramme_Importierbarkeit!$AI$4)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(Diagramme_Importierbarkeit!$W$10,Diagramme_Importierbarkeit!$AI$10)</c:f>
              <c:numCache>
                <c:formatCode>0%</c:formatCode>
                <c:ptCount val="2"/>
                <c:pt idx="0">
                  <c:v>0.91666666666666663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BE-434C-A353-864CE35FC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044047"/>
        <c:axId val="1829050767"/>
      </c:barChart>
      <c:catAx>
        <c:axId val="18290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9050767"/>
        <c:crosses val="autoZero"/>
        <c:auto val="1"/>
        <c:lblAlgn val="ctr"/>
        <c:lblOffset val="100"/>
        <c:noMultiLvlLbl val="0"/>
      </c:catAx>
      <c:valAx>
        <c:axId val="18290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904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Importierbarkeit Qwen 9b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Diagramme_Importierbarkeit!$O$15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(Diagramme_Importierbarkeit!$W$14,Diagramme_Importierbarkeit!$AI$14)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(Diagramme_Importierbarkeit!$W$15,Diagramme_Importierbarkeit!$AI$15)</c:f>
              <c:numCache>
                <c:formatCode>0%</c:formatCode>
                <c:ptCount val="2"/>
                <c:pt idx="0">
                  <c:v>1</c:v>
                </c:pt>
                <c:pt idx="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A-4D87-A7CD-B6AEFAD7A613}"/>
            </c:ext>
          </c:extLst>
        </c:ser>
        <c:ser>
          <c:idx val="1"/>
          <c:order val="1"/>
          <c:tx>
            <c:strRef>
              <c:f>Diagramme_Importierbarkeit!$O$16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(Diagramme_Importierbarkeit!$W$14,Diagramme_Importierbarkeit!$AI$14)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(Diagramme_Importierbarkeit!$W$16,Diagramme_Importierbarkeit!$AI$16)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A-4D87-A7CD-B6AEFAD7A613}"/>
            </c:ext>
          </c:extLst>
        </c:ser>
        <c:ser>
          <c:idx val="2"/>
          <c:order val="2"/>
          <c:tx>
            <c:strRef>
              <c:f>Diagramme_Importierbarkeit!$O$17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(Diagramme_Importierbarkeit!$W$14,Diagramme_Importierbarkeit!$AI$14)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(Diagramme_Importierbarkeit!$W$17,Diagramme_Importierbarkeit!$AI$17)</c:f>
              <c:numCache>
                <c:formatCode>0%</c:formatCode>
                <c:ptCount val="2"/>
                <c:pt idx="0">
                  <c:v>0.91666666666666663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A-4D87-A7CD-B6AEFAD7A613}"/>
            </c:ext>
          </c:extLst>
        </c:ser>
        <c:ser>
          <c:idx val="3"/>
          <c:order val="3"/>
          <c:tx>
            <c:strRef>
              <c:f>Diagramme_Importierbarkeit!$O$18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(Diagramme_Importierbarkeit!$W$14,Diagramme_Importierbarkeit!$AI$14)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(Diagramme_Importierbarkeit!$W$18,Diagramme_Importierbarkeit!$AI$18)</c:f>
              <c:numCache>
                <c:formatCode>0%</c:formatCode>
                <c:ptCount val="2"/>
                <c:pt idx="0">
                  <c:v>1</c:v>
                </c:pt>
                <c:pt idx="1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2A-4D87-A7CD-B6AEFAD7A613}"/>
            </c:ext>
          </c:extLst>
        </c:ser>
        <c:ser>
          <c:idx val="4"/>
          <c:order val="4"/>
          <c:tx>
            <c:strRef>
              <c:f>Diagramme_Importierbarkeit!$O$19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(Diagramme_Importierbarkeit!$W$14,Diagramme_Importierbarkeit!$AI$14)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(Diagramme_Importierbarkeit!$W$19,Diagramme_Importierbarkeit!$AI$19)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2A-4D87-A7CD-B6AEFAD7A613}"/>
            </c:ext>
          </c:extLst>
        </c:ser>
        <c:ser>
          <c:idx val="5"/>
          <c:order val="5"/>
          <c:tx>
            <c:strRef>
              <c:f>Diagramme_Importierbarkeit!$O$20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(Diagramme_Importierbarkeit!$W$14,Diagramme_Importierbarkeit!$AI$14)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(Diagramme_Importierbarkeit!$W$20,Diagramme_Importierbarkeit!$AI$20)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2A-4D87-A7CD-B6AEFAD7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066127"/>
        <c:axId val="1829064687"/>
      </c:barChart>
      <c:catAx>
        <c:axId val="182906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9064687"/>
        <c:crosses val="autoZero"/>
        <c:auto val="1"/>
        <c:lblAlgn val="ctr"/>
        <c:lblOffset val="100"/>
        <c:noMultiLvlLbl val="0"/>
      </c:catAx>
      <c:valAx>
        <c:axId val="18290646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906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Importierbarkeit Gemma 4 e4b Output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[1]Diagramme_Importierbarkeit!$O$5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([1]Diagramme_Importierbarkeit!$W$4,[1]Diagramme_Importierbarkeit!$AI$4)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([1]Diagramme_Importierbarkeit!$W$5,[1]Diagramme_Importierbarkeit!$AI$5)</c:f>
              <c:numCache>
                <c:formatCode>0%</c:formatCode>
                <c:ptCount val="2"/>
                <c:pt idx="0">
                  <c:v>0.91666666666666663</c:v>
                </c:pt>
                <c:pt idx="1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F-43C0-83F2-CF23158D55E0}"/>
            </c:ext>
          </c:extLst>
        </c:ser>
        <c:ser>
          <c:idx val="1"/>
          <c:order val="1"/>
          <c:tx>
            <c:strRef>
              <c:f>[1]Diagramme_Importierbarkeit!$O$6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([1]Diagramme_Importierbarkeit!$W$4,[1]Diagramme_Importierbarkeit!$AI$4)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([1]Diagramme_Importierbarkeit!$W$6,[1]Diagramme_Importierbarkeit!$AI$6)</c:f>
              <c:numCache>
                <c:formatCode>0%</c:formatCode>
                <c:ptCount val="2"/>
                <c:pt idx="0">
                  <c:v>1</c:v>
                </c:pt>
                <c:pt idx="1">
                  <c:v>0.76190476190476186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F-43C0-83F2-CF23158D55E0}"/>
            </c:ext>
          </c:extLst>
        </c:ser>
        <c:ser>
          <c:idx val="2"/>
          <c:order val="2"/>
          <c:tx>
            <c:strRef>
              <c:f>[1]Diagramme_Importierbarkeit!$O$7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([1]Diagramme_Importierbarkeit!$W$4,[1]Diagramme_Importierbarkeit!$AI$4)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([1]Diagramme_Importierbarkeit!$W$7,[1]Diagramme_Importierbarkeit!$AI$7)</c:f>
              <c:numCache>
                <c:formatCode>0%</c:formatCode>
                <c:ptCount val="2"/>
                <c:pt idx="0">
                  <c:v>1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F-43C0-83F2-CF23158D55E0}"/>
            </c:ext>
          </c:extLst>
        </c:ser>
        <c:ser>
          <c:idx val="3"/>
          <c:order val="3"/>
          <c:tx>
            <c:strRef>
              <c:f>[1]Diagramme_Importierbarkeit!$O$8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([1]Diagramme_Importierbarkeit!$W$4,[1]Diagramme_Importierbarkeit!$AI$4)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([1]Diagramme_Importierbarkeit!$W$8,[1]Diagramme_Importierbarkeit!$AI$8)</c:f>
              <c:numCache>
                <c:formatCode>0%</c:formatCode>
                <c:ptCount val="2"/>
                <c:pt idx="0">
                  <c:v>1</c:v>
                </c:pt>
                <c:pt idx="1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F-43C0-83F2-CF23158D55E0}"/>
            </c:ext>
          </c:extLst>
        </c:ser>
        <c:ser>
          <c:idx val="4"/>
          <c:order val="4"/>
          <c:tx>
            <c:strRef>
              <c:f>[1]Diagramme_Importierbarkeit!$O$9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([1]Diagramme_Importierbarkeit!$W$4,[1]Diagramme_Importierbarkeit!$AI$4)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([1]Diagramme_Importierbarkeit!$W$9,[1]Diagramme_Importierbarkeit!$AI$9)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7F-43C0-83F2-CF23158D55E0}"/>
            </c:ext>
          </c:extLst>
        </c:ser>
        <c:ser>
          <c:idx val="5"/>
          <c:order val="5"/>
          <c:tx>
            <c:strRef>
              <c:f>[1]Diagramme_Importierbarkeit!$O$10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([1]Diagramme_Importierbarkeit!$W$4,[1]Diagramme_Importierbarkeit!$AI$4)</c:f>
              <c:strCache>
                <c:ptCount val="2"/>
                <c:pt idx="0">
                  <c:v>Controlled</c:v>
                </c:pt>
                <c:pt idx="1">
                  <c:v>Organized</c:v>
                </c:pt>
              </c:strCache>
            </c:strRef>
          </c:cat>
          <c:val>
            <c:numRef>
              <c:f>([1]Diagramme_Importierbarkeit!$W$10,[1]Diagramme_Importierbarkeit!$AI$10)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7F-43C0-83F2-CF23158D5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044047"/>
        <c:axId val="1829050767"/>
      </c:barChart>
      <c:catAx>
        <c:axId val="182904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9050767"/>
        <c:crosses val="autoZero"/>
        <c:auto val="1"/>
        <c:lblAlgn val="ctr"/>
        <c:lblOffset val="100"/>
        <c:noMultiLvlLbl val="0"/>
      </c:catAx>
      <c:valAx>
        <c:axId val="182905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904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Component Completness Controlled (Qwen 4b)</a:t>
            </a:r>
          </a:p>
        </c:rich>
      </c:tx>
      <c:layout>
        <c:manualLayout>
          <c:xMode val="edge"/>
          <c:yMode val="edge"/>
          <c:x val="0.26700677083333335"/>
          <c:y val="5.6455059925798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Diagramme_Completness!$O$5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(Diagramme_Completness!$P$5,Diagramme_Completness!$R$5,Diagramme_Completness!$T$5,Diagramme_Completness!$V$5)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F-443F-8759-5268004416C2}"/>
            </c:ext>
          </c:extLst>
        </c:ser>
        <c:ser>
          <c:idx val="1"/>
          <c:order val="1"/>
          <c:tx>
            <c:strRef>
              <c:f>Diagramme_Completness!$O$6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(Diagramme_Completness!$P$6,Diagramme_Completness!$R$6,Diagramme_Completness!$T$6,Diagramme_Completness!$V$6)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0.93333333333333335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DF-443F-8759-5268004416C2}"/>
            </c:ext>
          </c:extLst>
        </c:ser>
        <c:ser>
          <c:idx val="2"/>
          <c:order val="2"/>
          <c:tx>
            <c:strRef>
              <c:f>Diagramme_Completness!$O$7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(Diagramme_Completness!$P$7,Diagramme_Completness!$R$7,Diagramme_Completness!$T$7,Diagramme_Completness!$V$7)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0.94117647058823528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DF-443F-8759-5268004416C2}"/>
            </c:ext>
          </c:extLst>
        </c:ser>
        <c:ser>
          <c:idx val="3"/>
          <c:order val="3"/>
          <c:tx>
            <c:strRef>
              <c:f>Diagramme_Completness!$O$8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(Diagramme_Completness!$P$8,Diagramme_Completness!$R$8,Diagramme_Completness!$T$8,Diagramme_Completness!$V$8)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DF-443F-8759-5268004416C2}"/>
            </c:ext>
          </c:extLst>
        </c:ser>
        <c:ser>
          <c:idx val="4"/>
          <c:order val="4"/>
          <c:tx>
            <c:strRef>
              <c:f>Diagramme_Completness!$O$9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(Diagramme_Completness!$P$9,Diagramme_Completness!$R$9,Diagramme_Completness!$T$9,Diagramme_Completness!$V$9)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DF-443F-8759-5268004416C2}"/>
            </c:ext>
          </c:extLst>
        </c:ser>
        <c:ser>
          <c:idx val="5"/>
          <c:order val="5"/>
          <c:tx>
            <c:strRef>
              <c:f>Diagramme_Completness!$O$10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(Diagramme_Completness!$P$10,Diagramme_Completness!$R$10,Diagramme_Completness!$T$10,Diagramme_Completness!$V$10)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DF-443F-8759-526800441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851151"/>
        <c:axId val="1550845391"/>
      </c:barChart>
      <c:catAx>
        <c:axId val="155085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845391"/>
        <c:crosses val="autoZero"/>
        <c:auto val="1"/>
        <c:lblAlgn val="ctr"/>
        <c:lblOffset val="100"/>
        <c:noMultiLvlLbl val="0"/>
      </c:catAx>
      <c:valAx>
        <c:axId val="15508453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85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Component Completness Controlled (Qwen 9b)</a:t>
            </a:r>
          </a:p>
        </c:rich>
      </c:tx>
      <c:layout>
        <c:manualLayout>
          <c:xMode val="edge"/>
          <c:yMode val="edge"/>
          <c:x val="0.26481864611062456"/>
          <c:y val="6.066602975296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Diagramme_Completness!$O$15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(Diagramme_Completness!$P$15,Diagramme_Completness!$R$15,Diagramme_Completness!$T$15,Diagramme_Completness!$V$15)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D-4F52-AD27-4706E5727FE0}"/>
            </c:ext>
          </c:extLst>
        </c:ser>
        <c:ser>
          <c:idx val="1"/>
          <c:order val="1"/>
          <c:tx>
            <c:strRef>
              <c:f>Diagramme_Completness!$O$16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(Diagramme_Completness!$P$16,Diagramme_Completness!$R$16,Diagramme_Completness!$T$16,Diagramme_Completness!$V$16)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0.93333333333333335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D-4F52-AD27-4706E5727FE0}"/>
            </c:ext>
          </c:extLst>
        </c:ser>
        <c:ser>
          <c:idx val="2"/>
          <c:order val="2"/>
          <c:tx>
            <c:strRef>
              <c:f>Diagramme_Completness!$O$17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(Diagramme_Completness!$P$17,Diagramme_Completness!$R$17,Diagramme_Completness!$T$17,Diagramme_Completness!$V$17)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9D-4F52-AD27-4706E5727FE0}"/>
            </c:ext>
          </c:extLst>
        </c:ser>
        <c:ser>
          <c:idx val="3"/>
          <c:order val="3"/>
          <c:tx>
            <c:strRef>
              <c:f>Diagramme_Completness!$O$18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(Diagramme_Completness!$P$18,Diagramme_Completness!$R$18,Diagramme_Completness!$T$18,Diagramme_Completness!$V$18)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9D-4F52-AD27-4706E5727FE0}"/>
            </c:ext>
          </c:extLst>
        </c:ser>
        <c:ser>
          <c:idx val="4"/>
          <c:order val="4"/>
          <c:tx>
            <c:strRef>
              <c:f>Diagramme_Completness!$O$19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(Diagramme_Completness!$P$19,Diagramme_Completness!$R$19,Diagramme_Completness!$T$19,Diagramme_Completness!$V$19)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9D-4F52-AD27-4706E5727FE0}"/>
            </c:ext>
          </c:extLst>
        </c:ser>
        <c:ser>
          <c:idx val="5"/>
          <c:order val="5"/>
          <c:tx>
            <c:strRef>
              <c:f>Diagramme_Completness!$O$20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(Diagramme_Completness!$P$20,Diagramme_Completness!$R$20,Diagramme_Completness!$T$20,Diagramme_Completness!$V$20)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9D-4F52-AD27-4706E5727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848751"/>
        <c:axId val="1550851631"/>
      </c:barChart>
      <c:catAx>
        <c:axId val="155084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851631"/>
        <c:crosses val="autoZero"/>
        <c:auto val="1"/>
        <c:lblAlgn val="ctr"/>
        <c:lblOffset val="100"/>
        <c:noMultiLvlLbl val="0"/>
      </c:catAx>
      <c:valAx>
        <c:axId val="15508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84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Component Completness Organized (Qwen 4b)</a:t>
            </a:r>
          </a:p>
        </c:rich>
      </c:tx>
      <c:layout>
        <c:manualLayout>
          <c:xMode val="edge"/>
          <c:yMode val="edge"/>
          <c:x val="0.27165807042125217"/>
          <c:y val="6.499931759246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Diagramme_Completness!$AA$5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(Diagramme_Completness!$AB$5,Diagramme_Completness!$AD$5,Diagramme_Completness!$AF$5,Diagramme_Completness!$AH$5)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0.875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0-41FC-A073-41C320C8CF12}"/>
            </c:ext>
          </c:extLst>
        </c:ser>
        <c:ser>
          <c:idx val="1"/>
          <c:order val="1"/>
          <c:tx>
            <c:strRef>
              <c:f>Diagramme_Completness!$AA$6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(Diagramme_Completness!$AB$6,Diagramme_Completness!$AD$6,Diagramme_Completness!$AF$6,Diagramme_Completness!$AH$6)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0.93333333333333335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10-41FC-A073-41C320C8CF12}"/>
            </c:ext>
          </c:extLst>
        </c:ser>
        <c:ser>
          <c:idx val="2"/>
          <c:order val="2"/>
          <c:tx>
            <c:strRef>
              <c:f>Diagramme_Completness!$AA$7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(Diagramme_Completness!$AB$7,Diagramme_Completness!$AD$7,Diagramme_Completness!$AF$7,Diagramme_Completness!$AH$7)</c:f>
              <c:numCache>
                <c:formatCode>0%</c:formatCode>
                <c:ptCount val="4"/>
                <c:pt idx="0">
                  <c:v>1</c:v>
                </c:pt>
                <c:pt idx="1">
                  <c:v>0.88888888888888884</c:v>
                </c:pt>
                <c:pt idx="2">
                  <c:v>0.82352941176470584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10-41FC-A073-41C320C8CF12}"/>
            </c:ext>
          </c:extLst>
        </c:ser>
        <c:ser>
          <c:idx val="3"/>
          <c:order val="3"/>
          <c:tx>
            <c:strRef>
              <c:f>Diagramme_Completness!$AA$8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(Diagramme_Completness!$AB$8,Diagramme_Completness!$AD$8,Diagramme_Completness!$AF$8,Diagramme_Completness!$AH$8)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0.69230769230769229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10-41FC-A073-41C320C8CF12}"/>
            </c:ext>
          </c:extLst>
        </c:ser>
        <c:ser>
          <c:idx val="4"/>
          <c:order val="4"/>
          <c:tx>
            <c:strRef>
              <c:f>Diagramme_Completness!$AA$9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(Diagramme_Completness!$AB$9,Diagramme_Completness!$AD$9,Diagramme_Completness!$AF$9,Diagramme_Completness!$AH$9)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0.72727272727272729</c:v>
                </c:pt>
                <c:pt idx="3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10-41FC-A073-41C320C8CF12}"/>
            </c:ext>
          </c:extLst>
        </c:ser>
        <c:ser>
          <c:idx val="5"/>
          <c:order val="5"/>
          <c:tx>
            <c:strRef>
              <c:f>Diagramme_Completness!$AA$10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(Diagramme_Completness!$AB$10,Diagramme_Completness!$AD$10,Diagramme_Completness!$AF$10,Diagramme_Completness!$AH$10)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10-41FC-A073-41C320C8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556975"/>
        <c:axId val="1731558415"/>
      </c:barChart>
      <c:catAx>
        <c:axId val="173155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58415"/>
        <c:crosses val="autoZero"/>
        <c:auto val="1"/>
        <c:lblAlgn val="ctr"/>
        <c:lblOffset val="100"/>
        <c:noMultiLvlLbl val="0"/>
      </c:catAx>
      <c:valAx>
        <c:axId val="173155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5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Component Completness Organized (Qwen 9b)</a:t>
            </a:r>
          </a:p>
        </c:rich>
      </c:tx>
      <c:layout>
        <c:manualLayout>
          <c:xMode val="edge"/>
          <c:yMode val="edge"/>
          <c:x val="0.26688003472222221"/>
          <c:y val="6.066602975296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Diagramme_Completness!$AA$15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(Diagramme_Completness!$AB$15,Diagramme_Completness!$AD$15,Diagramme_Completness!$AF$15,Diagramme_Completness!$AH$15)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E-4537-8CEC-B2F9BE8F030D}"/>
            </c:ext>
          </c:extLst>
        </c:ser>
        <c:ser>
          <c:idx val="1"/>
          <c:order val="1"/>
          <c:tx>
            <c:strRef>
              <c:f>Diagramme_Completness!$AA$16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(Diagramme_Completness!$AB$16,Diagramme_Completness!$AD$16,Diagramme_Completness!$AF$16,Diagramme_Completness!$AH$16)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0.93333333333333335</c:v>
                </c:pt>
                <c:pt idx="3">
                  <c:v>0.89655172413793105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E-4537-8CEC-B2F9BE8F030D}"/>
            </c:ext>
          </c:extLst>
        </c:ser>
        <c:ser>
          <c:idx val="2"/>
          <c:order val="2"/>
          <c:tx>
            <c:strRef>
              <c:f>Diagramme_Completness!$AA$17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(Diagramme_Completness!$AB$17,Diagramme_Completness!$AD$17,Diagramme_Completness!$AF$17,Diagramme_Completness!$AH$17)</c:f>
              <c:numCache>
                <c:formatCode>0%</c:formatCode>
                <c:ptCount val="4"/>
                <c:pt idx="0">
                  <c:v>1</c:v>
                </c:pt>
                <c:pt idx="1">
                  <c:v>0.88888888888888884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EE-4537-8CEC-B2F9BE8F030D}"/>
            </c:ext>
          </c:extLst>
        </c:ser>
        <c:ser>
          <c:idx val="3"/>
          <c:order val="3"/>
          <c:tx>
            <c:strRef>
              <c:f>Diagramme_Completness!$AA$18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(Diagramme_Completness!$AB$18,Diagramme_Completness!$AD$18,Diagramme_Completness!$AF$18,Diagramme_Completness!$AH$18)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0.92307692307692313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EE-4537-8CEC-B2F9BE8F030D}"/>
            </c:ext>
          </c:extLst>
        </c:ser>
        <c:ser>
          <c:idx val="4"/>
          <c:order val="4"/>
          <c:tx>
            <c:strRef>
              <c:f>Diagramme_Completness!$AA$19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(Diagramme_Completness!$AB$19,Diagramme_Completness!$AD$19,Diagramme_Completness!$AF$19,Diagramme_Completness!$AH$19)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0.90909090909090906</c:v>
                </c:pt>
                <c:pt idx="3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EE-4537-8CEC-B2F9BE8F030D}"/>
            </c:ext>
          </c:extLst>
        </c:ser>
        <c:ser>
          <c:idx val="5"/>
          <c:order val="5"/>
          <c:tx>
            <c:strRef>
              <c:f>Diagramme_Completness!$AA$20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(Diagramme_Completness!$AB$20,Diagramme_Completness!$AD$20,Diagramme_Completness!$AF$20,Diagramme_Completness!$AH$20)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EE-4537-8CEC-B2F9BE8F0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581455"/>
        <c:axId val="1731581935"/>
      </c:barChart>
      <c:catAx>
        <c:axId val="173158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1935"/>
        <c:crosses val="autoZero"/>
        <c:auto val="1"/>
        <c:lblAlgn val="ctr"/>
        <c:lblOffset val="100"/>
        <c:noMultiLvlLbl val="0"/>
      </c:catAx>
      <c:valAx>
        <c:axId val="17315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Relation Completness Controlled (Qwen 4b)</a:t>
            </a:r>
          </a:p>
        </c:rich>
      </c:tx>
      <c:layout>
        <c:manualLayout>
          <c:xMode val="edge"/>
          <c:yMode val="edge"/>
          <c:x val="0.28626286725633004"/>
          <c:y val="6.066602975296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Diagramme_Completness!$O$5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(Diagramme_Completness!$Q$5,Diagramme_Completness!$S$5,Diagramme_Completness!$U$5,Diagramme_Completness!$W$5)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77-4CB0-AEF3-B05C79B5DF66}"/>
            </c:ext>
          </c:extLst>
        </c:ser>
        <c:ser>
          <c:idx val="1"/>
          <c:order val="1"/>
          <c:tx>
            <c:strRef>
              <c:f>Diagramme_Completness!$O$6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(Diagramme_Completness!$Q$6,Diagramme_Completness!$S$6,Diagramme_Completness!$U$6,Diagramme_Completness!$W$6)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0.83333333333333337</c:v>
                </c:pt>
                <c:pt idx="3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77-4CB0-AEF3-B05C79B5DF66}"/>
            </c:ext>
          </c:extLst>
        </c:ser>
        <c:ser>
          <c:idx val="2"/>
          <c:order val="2"/>
          <c:tx>
            <c:strRef>
              <c:f>Diagramme_Completness!$O$7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(Diagramme_Completness!$Q$7,Diagramme_Completness!$S$7,Diagramme_Completness!$U$7,Diagramme_Completness!$W$7)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0.8571428571428571</c:v>
                </c:pt>
                <c:pt idx="3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77-4CB0-AEF3-B05C79B5DF66}"/>
            </c:ext>
          </c:extLst>
        </c:ser>
        <c:ser>
          <c:idx val="3"/>
          <c:order val="3"/>
          <c:tx>
            <c:strRef>
              <c:f>Diagramme_Completness!$O$8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(Diagramme_Completness!$Q$8,Diagramme_Completness!$S$8,Diagramme_Completness!$U$8,Diagramme_Completness!$W$8)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77-4CB0-AEF3-B05C79B5DF66}"/>
            </c:ext>
          </c:extLst>
        </c:ser>
        <c:ser>
          <c:idx val="4"/>
          <c:order val="4"/>
          <c:tx>
            <c:strRef>
              <c:f>Diagramme_Completness!$O$9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(Diagramme_Completness!$Q$9,Diagramme_Completness!$S$9,Diagramme_Completness!$U$9,Diagramme_Completness!$W$9)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77-4CB0-AEF3-B05C79B5DF66}"/>
            </c:ext>
          </c:extLst>
        </c:ser>
        <c:ser>
          <c:idx val="5"/>
          <c:order val="5"/>
          <c:tx>
            <c:strRef>
              <c:f>Diagramme_Completness!$O$10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(Diagramme_Completness!$Q$10,Diagramme_Completness!$S$10,Diagramme_Completness!$U$10,Diagramme_Completness!$W$10)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77-4CB0-AEF3-B05C79B5D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556495"/>
        <c:axId val="1731549775"/>
      </c:barChart>
      <c:catAx>
        <c:axId val="173155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49775"/>
        <c:crosses val="autoZero"/>
        <c:auto val="1"/>
        <c:lblAlgn val="ctr"/>
        <c:lblOffset val="100"/>
        <c:noMultiLvlLbl val="0"/>
      </c:catAx>
      <c:valAx>
        <c:axId val="17315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5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Relation Completness Controlled (Qwen 9b)</a:t>
            </a:r>
          </a:p>
        </c:rich>
      </c:tx>
      <c:layout>
        <c:manualLayout>
          <c:xMode val="edge"/>
          <c:yMode val="edge"/>
          <c:x val="0.28602046614930138"/>
          <c:y val="6.0731821869262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Diagramme_Completness!$O$15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(Diagramme_Completness!$Q$15,Diagramme_Completness!$S$15,Diagramme_Completness!$U$15,Diagramme_Completness!$W$15)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2-48B0-B3D1-2181046EEBB1}"/>
            </c:ext>
          </c:extLst>
        </c:ser>
        <c:ser>
          <c:idx val="1"/>
          <c:order val="1"/>
          <c:tx>
            <c:strRef>
              <c:f>Diagramme_Completness!$O$16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(Diagramme_Completness!$Q$16,Diagramme_Completness!$S$16,Diagramme_Completness!$U$16,Diagramme_Completness!$W$16)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0.91666666666666663</c:v>
                </c:pt>
                <c:pt idx="3">
                  <c:v>0.95833333333333337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2-48B0-B3D1-2181046EEBB1}"/>
            </c:ext>
          </c:extLst>
        </c:ser>
        <c:ser>
          <c:idx val="2"/>
          <c:order val="2"/>
          <c:tx>
            <c:strRef>
              <c:f>Diagramme_Completness!$O$17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(Diagramme_Completness!$Q$17,Diagramme_Completness!$S$17,Diagramme_Completness!$U$17,Diagramme_Completness!$W$17)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2-48B0-B3D1-2181046EEBB1}"/>
            </c:ext>
          </c:extLst>
        </c:ser>
        <c:ser>
          <c:idx val="3"/>
          <c:order val="3"/>
          <c:tx>
            <c:strRef>
              <c:f>Diagramme_Completness!$O$18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(Diagramme_Completness!$Q$18,Diagramme_Completness!$S$18,Diagramme_Completness!$U$18,Diagramme_Completness!$W$18)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A2-48B0-B3D1-2181046EEBB1}"/>
            </c:ext>
          </c:extLst>
        </c:ser>
        <c:ser>
          <c:idx val="4"/>
          <c:order val="4"/>
          <c:tx>
            <c:strRef>
              <c:f>Diagramme_Completness!$O$19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(Diagramme_Completness!$Q$19,Diagramme_Completness!$S$19,Diagramme_Completness!$U$19,Diagramme_Completness!$W$19)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A2-48B0-B3D1-2181046EEBB1}"/>
            </c:ext>
          </c:extLst>
        </c:ser>
        <c:ser>
          <c:idx val="5"/>
          <c:order val="5"/>
          <c:tx>
            <c:strRef>
              <c:f>Diagramme_Completness!$O$20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(Diagramme_Completness!$Q$20,Diagramme_Completness!$S$20,Diagramme_Completness!$U$20,Diagramme_Completness!$W$20)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A2-48B0-B3D1-2181046EE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590095"/>
        <c:axId val="1731589615"/>
      </c:barChart>
      <c:catAx>
        <c:axId val="173159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9615"/>
        <c:crosses val="autoZero"/>
        <c:auto val="1"/>
        <c:lblAlgn val="ctr"/>
        <c:lblOffset val="100"/>
        <c:noMultiLvlLbl val="0"/>
      </c:catAx>
      <c:valAx>
        <c:axId val="173158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9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Relation Completness Organized (Qwen 4b)</a:t>
            </a:r>
          </a:p>
        </c:rich>
      </c:tx>
      <c:layout>
        <c:manualLayout>
          <c:xMode val="edge"/>
          <c:yMode val="edge"/>
          <c:x val="0.288465625"/>
          <c:y val="6.499931759246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Diagramme_Completness!$AA$5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(Diagramme_Completness!$AC$5,Diagramme_Completness!$AE$5,Diagramme_Completness!$AG$5,Diagramme_Completness!$AI$5)</c:f>
              <c:numCache>
                <c:formatCode>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0.5714285714285714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2-4479-8B93-40080DA46E99}"/>
            </c:ext>
          </c:extLst>
        </c:ser>
        <c:ser>
          <c:idx val="1"/>
          <c:order val="1"/>
          <c:tx>
            <c:strRef>
              <c:f>Diagramme_Completness!$AA$6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(Diagramme_Completness!$AC$6,Diagramme_Completness!$AE$6,Diagramme_Completness!$AG$6,Diagramme_Completness!$AI$6)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0.83333333333333337</c:v>
                </c:pt>
                <c:pt idx="3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2-4479-8B93-40080DA46E99}"/>
            </c:ext>
          </c:extLst>
        </c:ser>
        <c:ser>
          <c:idx val="2"/>
          <c:order val="2"/>
          <c:tx>
            <c:strRef>
              <c:f>Diagramme_Completness!$AA$7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(Diagramme_Completness!$AC$7,Diagramme_Completness!$AE$7,Diagramme_Completness!$AG$7,Diagramme_Completness!$AI$7)</c:f>
              <c:numCache>
                <c:formatCode>0%</c:formatCode>
                <c:ptCount val="4"/>
                <c:pt idx="0">
                  <c:v>1</c:v>
                </c:pt>
                <c:pt idx="1">
                  <c:v>0.66666666666666663</c:v>
                </c:pt>
                <c:pt idx="2">
                  <c:v>0.5714285714285714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82-4479-8B93-40080DA46E99}"/>
            </c:ext>
          </c:extLst>
        </c:ser>
        <c:ser>
          <c:idx val="3"/>
          <c:order val="3"/>
          <c:tx>
            <c:strRef>
              <c:f>Diagramme_Completness!$AA$8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(Diagramme_Completness!$AC$8,Diagramme_Completness!$AE$8,Diagramme_Completness!$AG$8,Diagramme_Completness!$AI$8)</c:f>
              <c:numCache>
                <c:formatCode>0%</c:formatCode>
                <c:ptCount val="4"/>
                <c:pt idx="0">
                  <c:v>1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82-4479-8B93-40080DA46E99}"/>
            </c:ext>
          </c:extLst>
        </c:ser>
        <c:ser>
          <c:idx val="4"/>
          <c:order val="4"/>
          <c:tx>
            <c:strRef>
              <c:f>Diagramme_Completness!$AA$9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(Diagramme_Completness!$AC$9,Diagramme_Completness!$AE$9,Diagramme_Completness!$AG$9,Diagramme_Completness!$AI$9)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0.66666666666666663</c:v>
                </c:pt>
                <c:pt idx="3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82-4479-8B93-40080DA46E99}"/>
            </c:ext>
          </c:extLst>
        </c:ser>
        <c:ser>
          <c:idx val="5"/>
          <c:order val="5"/>
          <c:tx>
            <c:strRef>
              <c:f>Diagramme_Completness!$AA$10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(Diagramme_Completness!$AC$10,Diagramme_Completness!$AE$10,Diagramme_Completness!$AG$10,Diagramme_Completness!$AI$10)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82-4479-8B93-40080DA46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646735"/>
        <c:axId val="1731642415"/>
      </c:barChart>
      <c:catAx>
        <c:axId val="173164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642415"/>
        <c:crosses val="autoZero"/>
        <c:auto val="1"/>
        <c:lblAlgn val="ctr"/>
        <c:lblOffset val="100"/>
        <c:noMultiLvlLbl val="0"/>
      </c:catAx>
      <c:valAx>
        <c:axId val="173164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64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Relation Completness Organized (Qwen 9b)</a:t>
            </a:r>
          </a:p>
        </c:rich>
      </c:tx>
      <c:layout>
        <c:manualLayout>
          <c:xMode val="edge"/>
          <c:yMode val="edge"/>
          <c:x val="0.28798936327374802"/>
          <c:y val="6.5211251936226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Diagramme_Completness!$AA$15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(Diagramme_Completness!$AC$15,Diagramme_Completness!$AE$15,Diagramme_Completness!$AG$15,Diagramme_Completness!$AI$15)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F-454D-A0F6-FEEEFA9998EF}"/>
            </c:ext>
          </c:extLst>
        </c:ser>
        <c:ser>
          <c:idx val="1"/>
          <c:order val="1"/>
          <c:tx>
            <c:strRef>
              <c:f>Diagramme_Completness!$AA$16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(Diagramme_Completness!$AC$16,Diagramme_Completness!$AE$16,Diagramme_Completness!$AG$16,Diagramme_Completness!$AI$16)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6F-454D-A0F6-FEEEFA9998EF}"/>
            </c:ext>
          </c:extLst>
        </c:ser>
        <c:ser>
          <c:idx val="2"/>
          <c:order val="2"/>
          <c:tx>
            <c:strRef>
              <c:f>Diagramme_Completness!$AA$17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(Diagramme_Completness!$AC$17,Diagramme_Completness!$AE$17,Diagramme_Completness!$AG$17,Diagramme_Completness!$AI$17)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6F-454D-A0F6-FEEEFA9998EF}"/>
            </c:ext>
          </c:extLst>
        </c:ser>
        <c:ser>
          <c:idx val="3"/>
          <c:order val="3"/>
          <c:tx>
            <c:strRef>
              <c:f>Diagramme_Completness!$AA$18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(Diagramme_Completness!$AC$18,Diagramme_Completness!$AE$18,Diagramme_Completness!$AG$18,Diagramme_Completness!$AI$18)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0.625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6F-454D-A0F6-FEEEFA9998EF}"/>
            </c:ext>
          </c:extLst>
        </c:ser>
        <c:ser>
          <c:idx val="4"/>
          <c:order val="4"/>
          <c:tx>
            <c:strRef>
              <c:f>Diagramme_Completness!$AA$19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(Diagramme_Completness!$AC$19,Diagramme_Completness!$AE$19,Diagramme_Completness!$AG$19,Diagramme_Completness!$AI$19)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0.88888888888888884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6F-454D-A0F6-FEEEFA9998EF}"/>
            </c:ext>
          </c:extLst>
        </c:ser>
        <c:ser>
          <c:idx val="5"/>
          <c:order val="5"/>
          <c:tx>
            <c:strRef>
              <c:f>Diagramme_Completness!$AA$20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(Diagramme_Completness!$AC$20,Diagramme_Completness!$AE$20,Diagramme_Completness!$AG$20,Diagramme_Completness!$AI$20)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6F-454D-A0F6-FEEEFA999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620335"/>
        <c:axId val="1731612655"/>
      </c:barChart>
      <c:catAx>
        <c:axId val="173162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612655"/>
        <c:crosses val="autoZero"/>
        <c:auto val="1"/>
        <c:lblAlgn val="ctr"/>
        <c:lblOffset val="100"/>
        <c:noMultiLvlLbl val="0"/>
      </c:catAx>
      <c:valAx>
        <c:axId val="173161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62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Component Completness Controlled (Qwen 4b)</a:t>
            </a:r>
          </a:p>
        </c:rich>
      </c:tx>
      <c:layout>
        <c:manualLayout>
          <c:xMode val="edge"/>
          <c:yMode val="edge"/>
          <c:x val="0.26700677083333335"/>
          <c:y val="5.6455059925798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Diagramme_Completness!$O$5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(Diagramme_Completness!$P$5,Diagramme_Completness!$R$5,Diagramme_Completness!$T$5,Diagramme_Completness!$V$5)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1-4730-81E1-B2677C02F037}"/>
            </c:ext>
          </c:extLst>
        </c:ser>
        <c:ser>
          <c:idx val="1"/>
          <c:order val="1"/>
          <c:tx>
            <c:strRef>
              <c:f>Diagramme_Completness!$O$6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(Diagramme_Completness!$P$6,Diagramme_Completness!$R$6,Diagramme_Completness!$T$6,Diagramme_Completness!$V$6)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0.93333333333333335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1-4730-81E1-B2677C02F037}"/>
            </c:ext>
          </c:extLst>
        </c:ser>
        <c:ser>
          <c:idx val="2"/>
          <c:order val="2"/>
          <c:tx>
            <c:strRef>
              <c:f>Diagramme_Completness!$O$7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(Diagramme_Completness!$P$7,Diagramme_Completness!$R$7,Diagramme_Completness!$T$7,Diagramme_Completness!$V$7)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0.94117647058823528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1-4730-81E1-B2677C02F037}"/>
            </c:ext>
          </c:extLst>
        </c:ser>
        <c:ser>
          <c:idx val="3"/>
          <c:order val="3"/>
          <c:tx>
            <c:strRef>
              <c:f>Diagramme_Completness!$O$8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(Diagramme_Completness!$P$8,Diagramme_Completness!$R$8,Diagramme_Completness!$T$8,Diagramme_Completness!$V$8)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61-4730-81E1-B2677C02F037}"/>
            </c:ext>
          </c:extLst>
        </c:ser>
        <c:ser>
          <c:idx val="4"/>
          <c:order val="4"/>
          <c:tx>
            <c:strRef>
              <c:f>Diagramme_Completness!$O$9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(Diagramme_Completness!$P$9,Diagramme_Completness!$R$9,Diagramme_Completness!$T$9,Diagramme_Completness!$V$9)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61-4730-81E1-B2677C02F037}"/>
            </c:ext>
          </c:extLst>
        </c:ser>
        <c:ser>
          <c:idx val="5"/>
          <c:order val="5"/>
          <c:tx>
            <c:strRef>
              <c:f>Diagramme_Completness!$O$10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(Diagramme_Completness!$P$4,Diagramme_Completness!$R$4,Diagramme_Completness!$T$4,Diagramme_Completness!$V$4)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(Diagramme_Completness!$P$10,Diagramme_Completness!$R$10,Diagramme_Completness!$T$10,Diagramme_Completness!$V$10)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61-4730-81E1-B2677C02F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851151"/>
        <c:axId val="1550845391"/>
      </c:barChart>
      <c:catAx>
        <c:axId val="155085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845391"/>
        <c:crosses val="autoZero"/>
        <c:auto val="1"/>
        <c:lblAlgn val="ctr"/>
        <c:lblOffset val="100"/>
        <c:noMultiLvlLbl val="0"/>
      </c:catAx>
      <c:valAx>
        <c:axId val="15508453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85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Component Completness Controlled (Qwen 9b)</a:t>
            </a:r>
          </a:p>
        </c:rich>
      </c:tx>
      <c:layout>
        <c:manualLayout>
          <c:xMode val="edge"/>
          <c:yMode val="edge"/>
          <c:x val="0.26481864611062456"/>
          <c:y val="6.066602975296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Diagramme_Completness!$O$15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(Diagramme_Completness!$P$15,Diagramme_Completness!$R$15,Diagramme_Completness!$T$15,Diagramme_Completness!$V$15)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2-4A30-9B82-AD241A727B67}"/>
            </c:ext>
          </c:extLst>
        </c:ser>
        <c:ser>
          <c:idx val="1"/>
          <c:order val="1"/>
          <c:tx>
            <c:strRef>
              <c:f>Diagramme_Completness!$O$16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(Diagramme_Completness!$P$16,Diagramme_Completness!$R$16,Diagramme_Completness!$T$16,Diagramme_Completness!$V$16)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0.93333333333333335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2-4A30-9B82-AD241A727B67}"/>
            </c:ext>
          </c:extLst>
        </c:ser>
        <c:ser>
          <c:idx val="2"/>
          <c:order val="2"/>
          <c:tx>
            <c:strRef>
              <c:f>Diagramme_Completness!$O$17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(Diagramme_Completness!$P$17,Diagramme_Completness!$R$17,Diagramme_Completness!$T$17,Diagramme_Completness!$V$17)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22-4A30-9B82-AD241A727B67}"/>
            </c:ext>
          </c:extLst>
        </c:ser>
        <c:ser>
          <c:idx val="3"/>
          <c:order val="3"/>
          <c:tx>
            <c:strRef>
              <c:f>Diagramme_Completness!$O$18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(Diagramme_Completness!$P$18,Diagramme_Completness!$R$18,Diagramme_Completness!$T$18,Diagramme_Completness!$V$18)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22-4A30-9B82-AD241A727B67}"/>
            </c:ext>
          </c:extLst>
        </c:ser>
        <c:ser>
          <c:idx val="4"/>
          <c:order val="4"/>
          <c:tx>
            <c:strRef>
              <c:f>Diagramme_Completness!$O$19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(Diagramme_Completness!$P$19,Diagramme_Completness!$R$19,Diagramme_Completness!$T$19,Diagramme_Completness!$V$19)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22-4A30-9B82-AD241A727B67}"/>
            </c:ext>
          </c:extLst>
        </c:ser>
        <c:ser>
          <c:idx val="5"/>
          <c:order val="5"/>
          <c:tx>
            <c:strRef>
              <c:f>Diagramme_Completness!$O$20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(Diagramme_Completness!$P$14,Diagramme_Completness!$R$14,Diagramme_Completness!$T$14,Diagramme_Completness!$V$14)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(Diagramme_Completness!$P$20,Diagramme_Completness!$R$20,Diagramme_Completness!$T$20,Diagramme_Completness!$V$20)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22-4A30-9B82-AD241A727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848751"/>
        <c:axId val="1550851631"/>
      </c:barChart>
      <c:catAx>
        <c:axId val="155084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851631"/>
        <c:crosses val="autoZero"/>
        <c:auto val="1"/>
        <c:lblAlgn val="ctr"/>
        <c:lblOffset val="100"/>
        <c:noMultiLvlLbl val="0"/>
      </c:catAx>
      <c:valAx>
        <c:axId val="155085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084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Component Completness Organized (Qwen 4b)</a:t>
            </a:r>
          </a:p>
        </c:rich>
      </c:tx>
      <c:layout>
        <c:manualLayout>
          <c:xMode val="edge"/>
          <c:yMode val="edge"/>
          <c:x val="0.27165807042125217"/>
          <c:y val="6.499931759246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Diagramme_Completness!$AA$5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(Diagramme_Completness!$AB$5,Diagramme_Completness!$AD$5,Diagramme_Completness!$AF$5,Diagramme_Completness!$AH$5)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0.875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8-4E94-8131-15D89D59199F}"/>
            </c:ext>
          </c:extLst>
        </c:ser>
        <c:ser>
          <c:idx val="1"/>
          <c:order val="1"/>
          <c:tx>
            <c:strRef>
              <c:f>Diagramme_Completness!$AA$6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(Diagramme_Completness!$AB$6,Diagramme_Completness!$AD$6,Diagramme_Completness!$AF$6,Diagramme_Completness!$AH$6)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0.93333333333333335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8-4E94-8131-15D89D59199F}"/>
            </c:ext>
          </c:extLst>
        </c:ser>
        <c:ser>
          <c:idx val="2"/>
          <c:order val="2"/>
          <c:tx>
            <c:strRef>
              <c:f>Diagramme_Completness!$AA$7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(Diagramme_Completness!$AB$7,Diagramme_Completness!$AD$7,Diagramme_Completness!$AF$7,Diagramme_Completness!$AH$7)</c:f>
              <c:numCache>
                <c:formatCode>0%</c:formatCode>
                <c:ptCount val="4"/>
                <c:pt idx="0">
                  <c:v>1</c:v>
                </c:pt>
                <c:pt idx="1">
                  <c:v>0.88888888888888884</c:v>
                </c:pt>
                <c:pt idx="2">
                  <c:v>0.82352941176470584</c:v>
                </c:pt>
                <c:pt idx="3">
                  <c:v>0.96551724137931039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8-4E94-8131-15D89D59199F}"/>
            </c:ext>
          </c:extLst>
        </c:ser>
        <c:ser>
          <c:idx val="3"/>
          <c:order val="3"/>
          <c:tx>
            <c:strRef>
              <c:f>Diagramme_Completness!$AA$8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(Diagramme_Completness!$AB$8,Diagramme_Completness!$AD$8,Diagramme_Completness!$AF$8,Diagramme_Completness!$AH$8)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0.69230769230769229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28-4E94-8131-15D89D59199F}"/>
            </c:ext>
          </c:extLst>
        </c:ser>
        <c:ser>
          <c:idx val="4"/>
          <c:order val="4"/>
          <c:tx>
            <c:strRef>
              <c:f>Diagramme_Completness!$AA$9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(Diagramme_Completness!$AB$9,Diagramme_Completness!$AD$9,Diagramme_Completness!$AF$9,Diagramme_Completness!$AH$9)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0.72727272727272729</c:v>
                </c:pt>
                <c:pt idx="3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28-4E94-8131-15D89D59199F}"/>
            </c:ext>
          </c:extLst>
        </c:ser>
        <c:ser>
          <c:idx val="5"/>
          <c:order val="5"/>
          <c:tx>
            <c:strRef>
              <c:f>Diagramme_Completness!$AA$10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(Diagramme_Completness!$AB$4,Diagramme_Completness!$AD$4,Diagramme_Completness!$AF$4,Diagramme_Completness!$AH$4)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(Diagramme_Completness!$AB$10,Diagramme_Completness!$AD$10,Diagramme_Completness!$AF$10,Diagramme_Completness!$AH$10)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28-4E94-8131-15D89D591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556975"/>
        <c:axId val="1731558415"/>
      </c:barChart>
      <c:catAx>
        <c:axId val="173155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58415"/>
        <c:crosses val="autoZero"/>
        <c:auto val="1"/>
        <c:lblAlgn val="ctr"/>
        <c:lblOffset val="100"/>
        <c:noMultiLvlLbl val="0"/>
      </c:catAx>
      <c:valAx>
        <c:axId val="173155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5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Component Completness Organized (Qwen 9b)</a:t>
            </a:r>
          </a:p>
        </c:rich>
      </c:tx>
      <c:layout>
        <c:manualLayout>
          <c:xMode val="edge"/>
          <c:yMode val="edge"/>
          <c:x val="0.26688003472222221"/>
          <c:y val="6.066602975296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Diagramme_Completness!$AA$15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(Diagramme_Completness!$AB$15,Diagramme_Completness!$AD$15,Diagramme_Completness!$AF$15,Diagramme_Completness!$AH$15)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7-4EFB-87FB-19D3C857D3BA}"/>
            </c:ext>
          </c:extLst>
        </c:ser>
        <c:ser>
          <c:idx val="1"/>
          <c:order val="1"/>
          <c:tx>
            <c:strRef>
              <c:f>Diagramme_Completness!$AA$16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(Diagramme_Completness!$AB$16,Diagramme_Completness!$AD$16,Diagramme_Completness!$AF$16,Diagramme_Completness!$AH$16)</c:f>
              <c:numCache>
                <c:formatCode>0%</c:formatCode>
                <c:ptCount val="4"/>
                <c:pt idx="0">
                  <c:v>0.83333333333333337</c:v>
                </c:pt>
                <c:pt idx="1">
                  <c:v>0.875</c:v>
                </c:pt>
                <c:pt idx="2">
                  <c:v>0.93333333333333335</c:v>
                </c:pt>
                <c:pt idx="3">
                  <c:v>0.89655172413793105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7-4EFB-87FB-19D3C857D3BA}"/>
            </c:ext>
          </c:extLst>
        </c:ser>
        <c:ser>
          <c:idx val="2"/>
          <c:order val="2"/>
          <c:tx>
            <c:strRef>
              <c:f>Diagramme_Completness!$AA$17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(Diagramme_Completness!$AB$17,Diagramme_Completness!$AD$17,Diagramme_Completness!$AF$17,Diagramme_Completness!$AH$17)</c:f>
              <c:numCache>
                <c:formatCode>0%</c:formatCode>
                <c:ptCount val="4"/>
                <c:pt idx="0">
                  <c:v>1</c:v>
                </c:pt>
                <c:pt idx="1">
                  <c:v>0.88888888888888884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7-4EFB-87FB-19D3C857D3BA}"/>
            </c:ext>
          </c:extLst>
        </c:ser>
        <c:ser>
          <c:idx val="3"/>
          <c:order val="3"/>
          <c:tx>
            <c:strRef>
              <c:f>Diagramme_Completness!$AA$18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(Diagramme_Completness!$AB$18,Diagramme_Completness!$AD$18,Diagramme_Completness!$AF$18,Diagramme_Completness!$AH$18)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0.92307692307692313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97-4EFB-87FB-19D3C857D3BA}"/>
            </c:ext>
          </c:extLst>
        </c:ser>
        <c:ser>
          <c:idx val="4"/>
          <c:order val="4"/>
          <c:tx>
            <c:strRef>
              <c:f>Diagramme_Completness!$AA$19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(Diagramme_Completness!$AB$19,Diagramme_Completness!$AD$19,Diagramme_Completness!$AF$19,Diagramme_Completness!$AH$19)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0.90909090909090906</c:v>
                </c:pt>
                <c:pt idx="3">
                  <c:v>0.7857142857142857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97-4EFB-87FB-19D3C857D3BA}"/>
            </c:ext>
          </c:extLst>
        </c:ser>
        <c:ser>
          <c:idx val="5"/>
          <c:order val="5"/>
          <c:tx>
            <c:strRef>
              <c:f>Diagramme_Completness!$AA$20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(Diagramme_Completness!$AB$14,Diagramme_Completness!$AD$14,Diagramme_Completness!$AF$14,Diagramme_Completness!$AH$14)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(Diagramme_Completness!$AB$20,Diagramme_Completness!$AD$20,Diagramme_Completness!$AF$20,Diagramme_Completness!$AH$20)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97-4EFB-87FB-19D3C857D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581455"/>
        <c:axId val="1731581935"/>
      </c:barChart>
      <c:catAx>
        <c:axId val="173158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1935"/>
        <c:crosses val="autoZero"/>
        <c:auto val="1"/>
        <c:lblAlgn val="ctr"/>
        <c:lblOffset val="100"/>
        <c:noMultiLvlLbl val="0"/>
      </c:catAx>
      <c:valAx>
        <c:axId val="173158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Relation Completness Controlled (Qwen 4b)</a:t>
            </a:r>
          </a:p>
        </c:rich>
      </c:tx>
      <c:layout>
        <c:manualLayout>
          <c:xMode val="edge"/>
          <c:yMode val="edge"/>
          <c:x val="0.28626286725633004"/>
          <c:y val="6.0666029752968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Diagramme_Completness!$O$5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(Diagramme_Completness!$Q$5,Diagramme_Completness!$S$5,Diagramme_Completness!$U$5,Diagramme_Completness!$W$5)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D-41EA-B9A1-1D239BC2B8BE}"/>
            </c:ext>
          </c:extLst>
        </c:ser>
        <c:ser>
          <c:idx val="1"/>
          <c:order val="1"/>
          <c:tx>
            <c:strRef>
              <c:f>Diagramme_Completness!$O$6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(Diagramme_Completness!$Q$6,Diagramme_Completness!$S$6,Diagramme_Completness!$U$6,Diagramme_Completness!$W$6)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0.83333333333333337</c:v>
                </c:pt>
                <c:pt idx="3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2D-41EA-B9A1-1D239BC2B8BE}"/>
            </c:ext>
          </c:extLst>
        </c:ser>
        <c:ser>
          <c:idx val="2"/>
          <c:order val="2"/>
          <c:tx>
            <c:strRef>
              <c:f>Diagramme_Completness!$O$7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(Diagramme_Completness!$Q$7,Diagramme_Completness!$S$7,Diagramme_Completness!$U$7,Diagramme_Completness!$W$7)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0.8571428571428571</c:v>
                </c:pt>
                <c:pt idx="3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2D-41EA-B9A1-1D239BC2B8BE}"/>
            </c:ext>
          </c:extLst>
        </c:ser>
        <c:ser>
          <c:idx val="3"/>
          <c:order val="3"/>
          <c:tx>
            <c:strRef>
              <c:f>Diagramme_Completness!$O$8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(Diagramme_Completness!$Q$8,Diagramme_Completness!$S$8,Diagramme_Completness!$U$8,Diagramme_Completness!$W$8)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2D-41EA-B9A1-1D239BC2B8BE}"/>
            </c:ext>
          </c:extLst>
        </c:ser>
        <c:ser>
          <c:idx val="4"/>
          <c:order val="4"/>
          <c:tx>
            <c:strRef>
              <c:f>Diagramme_Completness!$O$9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(Diagramme_Completness!$Q$9,Diagramme_Completness!$S$9,Diagramme_Completness!$U$9,Diagramme_Completness!$W$9)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2D-41EA-B9A1-1D239BC2B8BE}"/>
            </c:ext>
          </c:extLst>
        </c:ser>
        <c:ser>
          <c:idx val="5"/>
          <c:order val="5"/>
          <c:tx>
            <c:strRef>
              <c:f>Diagramme_Completness!$O$10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(Diagramme_Completness!$Q$4,Diagramme_Completness!$S$4,Diagramme_Completness!$U$4,Diagramme_Completness!$W$4)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(Diagramme_Completness!$Q$10,Diagramme_Completness!$S$10,Diagramme_Completness!$U$10,Diagramme_Completness!$W$10)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2D-41EA-B9A1-1D239BC2B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556495"/>
        <c:axId val="1731549775"/>
      </c:barChart>
      <c:catAx>
        <c:axId val="173155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49775"/>
        <c:crosses val="autoZero"/>
        <c:auto val="1"/>
        <c:lblAlgn val="ctr"/>
        <c:lblOffset val="100"/>
        <c:noMultiLvlLbl val="0"/>
      </c:catAx>
      <c:valAx>
        <c:axId val="173154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5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Relation Completness Organized (Qwen 4b)</a:t>
            </a:r>
          </a:p>
        </c:rich>
      </c:tx>
      <c:layout>
        <c:manualLayout>
          <c:xMode val="edge"/>
          <c:yMode val="edge"/>
          <c:x val="0.288465625"/>
          <c:y val="6.499931759246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Diagramme_Completness!$AA$5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(Diagramme_Completness!$AC$5,Diagramme_Completness!$AE$5,Diagramme_Completness!$AG$5,Diagramme_Completness!$AI$5)</c:f>
              <c:numCache>
                <c:formatCode>0%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0.5714285714285714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0-4A49-8A41-551603812954}"/>
            </c:ext>
          </c:extLst>
        </c:ser>
        <c:ser>
          <c:idx val="1"/>
          <c:order val="1"/>
          <c:tx>
            <c:strRef>
              <c:f>Diagramme_Completness!$AA$6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(Diagramme_Completness!$AC$6,Diagramme_Completness!$AE$6,Diagramme_Completness!$AG$6,Diagramme_Completness!$AI$6)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0.83333333333333337</c:v>
                </c:pt>
                <c:pt idx="3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30-4A49-8A41-551603812954}"/>
            </c:ext>
          </c:extLst>
        </c:ser>
        <c:ser>
          <c:idx val="2"/>
          <c:order val="2"/>
          <c:tx>
            <c:strRef>
              <c:f>Diagramme_Completness!$AA$7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(Diagramme_Completness!$AC$7,Diagramme_Completness!$AE$7,Diagramme_Completness!$AG$7,Diagramme_Completness!$AI$7)</c:f>
              <c:numCache>
                <c:formatCode>0%</c:formatCode>
                <c:ptCount val="4"/>
                <c:pt idx="0">
                  <c:v>1</c:v>
                </c:pt>
                <c:pt idx="1">
                  <c:v>0.66666666666666663</c:v>
                </c:pt>
                <c:pt idx="2">
                  <c:v>0.5714285714285714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30-4A49-8A41-551603812954}"/>
            </c:ext>
          </c:extLst>
        </c:ser>
        <c:ser>
          <c:idx val="3"/>
          <c:order val="3"/>
          <c:tx>
            <c:strRef>
              <c:f>Diagramme_Completness!$AA$8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(Diagramme_Completness!$AC$8,Diagramme_Completness!$AE$8,Diagramme_Completness!$AG$8,Diagramme_Completness!$AI$8)</c:f>
              <c:numCache>
                <c:formatCode>0%</c:formatCode>
                <c:ptCount val="4"/>
                <c:pt idx="0">
                  <c:v>1</c:v>
                </c:pt>
                <c:pt idx="1">
                  <c:v>0.33333333333333331</c:v>
                </c:pt>
                <c:pt idx="2">
                  <c:v>0.625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30-4A49-8A41-551603812954}"/>
            </c:ext>
          </c:extLst>
        </c:ser>
        <c:ser>
          <c:idx val="4"/>
          <c:order val="4"/>
          <c:tx>
            <c:strRef>
              <c:f>Diagramme_Completness!$AA$9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(Diagramme_Completness!$AC$9,Diagramme_Completness!$AE$9,Diagramme_Completness!$AG$9,Diagramme_Completness!$AI$9)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0.66666666666666663</c:v>
                </c:pt>
                <c:pt idx="3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30-4A49-8A41-551603812954}"/>
            </c:ext>
          </c:extLst>
        </c:ser>
        <c:ser>
          <c:idx val="5"/>
          <c:order val="5"/>
          <c:tx>
            <c:strRef>
              <c:f>Diagramme_Completness!$AA$10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(Diagramme_Completness!$AC$4,Diagramme_Completness!$AE$4,Diagramme_Completness!$AG$4,Diagramme_Completness!$AI$4)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(Diagramme_Completness!$AC$10,Diagramme_Completness!$AE$10,Diagramme_Completness!$AG$10,Diagramme_Completness!$AI$10)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30-4A49-8A41-551603812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646735"/>
        <c:axId val="1731642415"/>
      </c:barChart>
      <c:catAx>
        <c:axId val="173164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642415"/>
        <c:crosses val="autoZero"/>
        <c:auto val="1"/>
        <c:lblAlgn val="ctr"/>
        <c:lblOffset val="100"/>
        <c:noMultiLvlLbl val="0"/>
      </c:catAx>
      <c:valAx>
        <c:axId val="173164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64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Relation Completness Controlled (Qwen 9b)</a:t>
            </a:r>
          </a:p>
        </c:rich>
      </c:tx>
      <c:layout>
        <c:manualLayout>
          <c:xMode val="edge"/>
          <c:yMode val="edge"/>
          <c:x val="0.28602046614930138"/>
          <c:y val="6.0731821869262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Diagramme_Completness!$O$15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(Diagramme_Completness!$Q$15,Diagramme_Completness!$S$15,Diagramme_Completness!$U$15,Diagramme_Completness!$W$15)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E-40D5-8EFB-387E96AFE2CF}"/>
            </c:ext>
          </c:extLst>
        </c:ser>
        <c:ser>
          <c:idx val="1"/>
          <c:order val="1"/>
          <c:tx>
            <c:strRef>
              <c:f>Diagramme_Completness!$O$16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(Diagramme_Completness!$Q$16,Diagramme_Completness!$S$16,Diagramme_Completness!$U$16,Diagramme_Completness!$W$16)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0.91666666666666663</c:v>
                </c:pt>
                <c:pt idx="3">
                  <c:v>0.95833333333333337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E-40D5-8EFB-387E96AFE2CF}"/>
            </c:ext>
          </c:extLst>
        </c:ser>
        <c:ser>
          <c:idx val="2"/>
          <c:order val="2"/>
          <c:tx>
            <c:strRef>
              <c:f>Diagramme_Completness!$O$17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(Diagramme_Completness!$Q$17,Diagramme_Completness!$S$17,Diagramme_Completness!$U$17,Diagramme_Completness!$W$17)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BE-40D5-8EFB-387E96AFE2CF}"/>
            </c:ext>
          </c:extLst>
        </c:ser>
        <c:ser>
          <c:idx val="3"/>
          <c:order val="3"/>
          <c:tx>
            <c:strRef>
              <c:f>Diagramme_Completness!$O$18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(Diagramme_Completness!$Q$18,Diagramme_Completness!$S$18,Diagramme_Completness!$U$18,Diagramme_Completness!$W$18)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BE-40D5-8EFB-387E96AFE2CF}"/>
            </c:ext>
          </c:extLst>
        </c:ser>
        <c:ser>
          <c:idx val="4"/>
          <c:order val="4"/>
          <c:tx>
            <c:strRef>
              <c:f>Diagramme_Completness!$O$19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(Diagramme_Completness!$Q$19,Diagramme_Completness!$S$19,Diagramme_Completness!$U$19,Diagramme_Completness!$W$19)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BE-40D5-8EFB-387E96AFE2CF}"/>
            </c:ext>
          </c:extLst>
        </c:ser>
        <c:ser>
          <c:idx val="5"/>
          <c:order val="5"/>
          <c:tx>
            <c:strRef>
              <c:f>Diagramme_Completness!$O$20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(Diagramme_Completness!$Q$14,Diagramme_Completness!$S$14,Diagramme_Completness!$U$14,Diagramme_Completness!$W$14)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(Diagramme_Completness!$Q$20,Diagramme_Completness!$S$20,Diagramme_Completness!$U$20,Diagramme_Completness!$W$20)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BE-40D5-8EFB-387E96AFE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590095"/>
        <c:axId val="1731589615"/>
      </c:barChart>
      <c:catAx>
        <c:axId val="173159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9615"/>
        <c:crosses val="autoZero"/>
        <c:auto val="1"/>
        <c:lblAlgn val="ctr"/>
        <c:lblOffset val="100"/>
        <c:noMultiLvlLbl val="0"/>
      </c:catAx>
      <c:valAx>
        <c:axId val="173158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9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Relation Completness Organized (Qwen 9b)</a:t>
            </a:r>
          </a:p>
        </c:rich>
      </c:tx>
      <c:layout>
        <c:manualLayout>
          <c:xMode val="edge"/>
          <c:yMode val="edge"/>
          <c:x val="0.28798936327374802"/>
          <c:y val="6.5211251936226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Diagramme_Completness!$AA$15</c:f>
              <c:strCache>
                <c:ptCount val="1"/>
                <c:pt idx="0">
                  <c:v>ARM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(Diagramme_Completness!$AC$15,Diagramme_Completness!$AE$15,Diagramme_Completness!$AG$15,Diagramme_Completness!$AI$15)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2-44A6-9B89-3EB1500E1980}"/>
            </c:ext>
          </c:extLst>
        </c:ser>
        <c:ser>
          <c:idx val="1"/>
          <c:order val="1"/>
          <c:tx>
            <c:strRef>
              <c:f>Diagramme_Completness!$AA$16</c:f>
              <c:strCache>
                <c:ptCount val="1"/>
                <c:pt idx="0">
                  <c:v>BPM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(Diagramme_Completness!$AC$16,Diagramme_Completness!$AE$16,Diagramme_Completness!$AG$16,Diagramme_Completness!$AI$16)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2-44A6-9B89-3EB1500E1980}"/>
            </c:ext>
          </c:extLst>
        </c:ser>
        <c:ser>
          <c:idx val="2"/>
          <c:order val="2"/>
          <c:tx>
            <c:strRef>
              <c:f>Diagramme_Completness!$AA$17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(Diagramme_Completness!$AC$17,Diagramme_Completness!$AE$17,Diagramme_Completness!$AG$17,Diagramme_Completness!$AI$17)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82-44A6-9B89-3EB1500E1980}"/>
            </c:ext>
          </c:extLst>
        </c:ser>
        <c:ser>
          <c:idx val="3"/>
          <c:order val="3"/>
          <c:tx>
            <c:strRef>
              <c:f>Diagramme_Completness!$AA$18</c:f>
              <c:strCache>
                <c:ptCount val="1"/>
                <c:pt idx="0">
                  <c:v>GM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(Diagramme_Completness!$AC$18,Diagramme_Completness!$AE$18,Diagramme_Completness!$AG$18,Diagramme_Completness!$AI$18)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0.625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82-44A6-9B89-3EB1500E1980}"/>
            </c:ext>
          </c:extLst>
        </c:ser>
        <c:ser>
          <c:idx val="4"/>
          <c:order val="4"/>
          <c:tx>
            <c:strRef>
              <c:f>Diagramme_Completness!$AA$19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(Diagramme_Completness!$AC$19,Diagramme_Completness!$AE$19,Diagramme_Completness!$AG$19,Diagramme_Completness!$AI$19)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0.88888888888888884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82-44A6-9B89-3EB1500E1980}"/>
            </c:ext>
          </c:extLst>
        </c:ser>
        <c:ser>
          <c:idx val="5"/>
          <c:order val="5"/>
          <c:tx>
            <c:strRef>
              <c:f>Diagramme_Completness!$AA$20</c:f>
              <c:strCache>
                <c:ptCount val="1"/>
                <c:pt idx="0">
                  <c:v>TRM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(Diagramme_Completness!$AC$14,Diagramme_Completness!$AE$14,Diagramme_Completness!$AG$14,Diagramme_Completness!$AI$14)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(Diagramme_Completness!$AC$20,Diagramme_Completness!$AE$20,Diagramme_Completness!$AG$20,Diagramme_Completness!$AI$20)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0.75</c:v>
                </c:pt>
                <c:pt idx="3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82-44A6-9B89-3EB1500E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620335"/>
        <c:axId val="1731612655"/>
      </c:barChart>
      <c:catAx>
        <c:axId val="173162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612655"/>
        <c:crosses val="autoZero"/>
        <c:auto val="1"/>
        <c:lblAlgn val="ctr"/>
        <c:lblOffset val="100"/>
        <c:noMultiLvlLbl val="0"/>
      </c:catAx>
      <c:valAx>
        <c:axId val="173161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62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Qualität Qwen 4b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Diagramme_Quality!$B$14</c:f>
              <c:strCache>
                <c:ptCount val="1"/>
                <c:pt idx="0">
                  <c:v>Qwen 4b controlled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Diagramme_Quality!$C$13:$F$13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Diagramme_Quality!$C$14:$F$14</c:f>
              <c:numCache>
                <c:formatCode>0.0</c:formatCode>
                <c:ptCount val="4"/>
                <c:pt idx="0">
                  <c:v>4.5</c:v>
                </c:pt>
                <c:pt idx="1">
                  <c:v>4.333333333333333</c:v>
                </c:pt>
                <c:pt idx="2">
                  <c:v>3</c:v>
                </c:pt>
                <c:pt idx="3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7-4C2B-B48F-290508E197F2}"/>
            </c:ext>
          </c:extLst>
        </c:ser>
        <c:ser>
          <c:idx val="2"/>
          <c:order val="1"/>
          <c:tx>
            <c:strRef>
              <c:f>Diagramme_Quality!$B$16</c:f>
              <c:strCache>
                <c:ptCount val="1"/>
                <c:pt idx="0">
                  <c:v>Qwen 4b organized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Diagramme_Quality!$C$13:$F$13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Diagramme_Quality!$C$16:$F$16</c:f>
              <c:numCache>
                <c:formatCode>0.0</c:formatCode>
                <c:ptCount val="4"/>
                <c:pt idx="0">
                  <c:v>4.666666666666667</c:v>
                </c:pt>
                <c:pt idx="1">
                  <c:v>3.3333333333333335</c:v>
                </c:pt>
                <c:pt idx="2">
                  <c:v>2.8571428571428572</c:v>
                </c:pt>
                <c:pt idx="3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7-4C2B-B48F-290508E19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592495"/>
        <c:axId val="1731582415"/>
      </c:barChart>
      <c:catAx>
        <c:axId val="17315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2415"/>
        <c:crosses val="autoZero"/>
        <c:auto val="1"/>
        <c:lblAlgn val="ctr"/>
        <c:lblOffset val="100"/>
        <c:noMultiLvlLbl val="0"/>
      </c:catAx>
      <c:valAx>
        <c:axId val="173158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92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Qualität Qwen 9b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Diagramme_Quality!$B$15</c:f>
              <c:strCache>
                <c:ptCount val="1"/>
                <c:pt idx="0">
                  <c:v>Qwen 9b controlled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Diagramme_Quality!$C$13:$F$13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Diagramme_Quality!$C$15:$F$15</c:f>
              <c:numCache>
                <c:formatCode>0.0</c:formatCode>
                <c:ptCount val="4"/>
                <c:pt idx="0">
                  <c:v>4.333333333333333</c:v>
                </c:pt>
                <c:pt idx="1">
                  <c:v>4</c:v>
                </c:pt>
                <c:pt idx="2">
                  <c:v>3.8571428571428572</c:v>
                </c:pt>
                <c:pt idx="3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C-4CEB-9903-331581FC536A}"/>
            </c:ext>
          </c:extLst>
        </c:ser>
        <c:ser>
          <c:idx val="3"/>
          <c:order val="1"/>
          <c:tx>
            <c:strRef>
              <c:f>Diagramme_Quality!$B$17</c:f>
              <c:strCache>
                <c:ptCount val="1"/>
                <c:pt idx="0">
                  <c:v>Qwen 9b organized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Diagramme_Quality!$C$13:$F$13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Diagramme_Quality!$C$17:$F$17</c:f>
              <c:numCache>
                <c:formatCode>0.0</c:formatCode>
                <c:ptCount val="4"/>
                <c:pt idx="0">
                  <c:v>4.666666666666667</c:v>
                </c:pt>
                <c:pt idx="1">
                  <c:v>3.8333333333333335</c:v>
                </c:pt>
                <c:pt idx="2">
                  <c:v>3.7142857142857144</c:v>
                </c:pt>
                <c:pt idx="3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5C-4CEB-9903-331581FC5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592495"/>
        <c:axId val="1731582415"/>
      </c:barChart>
      <c:catAx>
        <c:axId val="17315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2415"/>
        <c:crosses val="autoZero"/>
        <c:auto val="1"/>
        <c:lblAlgn val="ctr"/>
        <c:lblOffset val="100"/>
        <c:noMultiLvlLbl val="0"/>
      </c:catAx>
      <c:valAx>
        <c:axId val="173158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92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Qualität Gemma 4 e4b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[1]Diagramme_Quality!$B$14</c:f>
              <c:strCache>
                <c:ptCount val="1"/>
                <c:pt idx="0">
                  <c:v>Gemma 4b controlled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[1]Diagramme_Quality!$C$13:$F$13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[1]Diagramme_Quality!$C$14:$F$14</c:f>
              <c:numCache>
                <c:formatCode>0.0</c:formatCode>
                <c:ptCount val="4"/>
                <c:pt idx="0">
                  <c:v>4.833333333333333</c:v>
                </c:pt>
                <c:pt idx="1">
                  <c:v>4.166666666666667</c:v>
                </c:pt>
                <c:pt idx="2">
                  <c:v>3.4285714285714284</c:v>
                </c:pt>
                <c:pt idx="3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E-4E45-8E6B-7E8E4C8024B2}"/>
            </c:ext>
          </c:extLst>
        </c:ser>
        <c:ser>
          <c:idx val="2"/>
          <c:order val="1"/>
          <c:tx>
            <c:strRef>
              <c:f>[1]Diagramme_Quality!$B$16</c:f>
              <c:strCache>
                <c:ptCount val="1"/>
                <c:pt idx="0">
                  <c:v>Gemma 4b organized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[1]Diagramme_Quality!$C$13:$F$13</c:f>
              <c:strCache>
                <c:ptCount val="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</c:strCache>
            </c:strRef>
          </c:cat>
          <c:val>
            <c:numRef>
              <c:f>[1]Diagramme_Quality!$C$16:$F$16</c:f>
              <c:numCache>
                <c:formatCode>0.0</c:formatCode>
                <c:ptCount val="4"/>
                <c:pt idx="0">
                  <c:v>4.666666666666667</c:v>
                </c:pt>
                <c:pt idx="1">
                  <c:v>3.3333333333333335</c:v>
                </c:pt>
                <c:pt idx="2">
                  <c:v>2.4285714285714284</c:v>
                </c:pt>
                <c:pt idx="3">
                  <c:v>2.875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DE-4E45-8E6B-7E8E4C80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592495"/>
        <c:axId val="1731582415"/>
      </c:barChart>
      <c:catAx>
        <c:axId val="17315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82415"/>
        <c:crosses val="autoZero"/>
        <c:auto val="1"/>
        <c:lblAlgn val="ctr"/>
        <c:lblOffset val="100"/>
        <c:noMultiLvlLbl val="0"/>
      </c:catAx>
      <c:valAx>
        <c:axId val="173158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315924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8</xdr:col>
      <xdr:colOff>0</xdr:colOff>
      <xdr:row>31</xdr:row>
      <xdr:rowOff>139700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C3D62BB4-8E08-4504-8C1E-34099EAB1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0850" y="4235450"/>
          <a:ext cx="5867400" cy="1612900"/>
        </a:xfrm>
        <a:prstGeom prst="rect">
          <a:avLst/>
        </a:prstGeom>
      </xdr:spPr>
    </xdr:pic>
    <xdr:clientData/>
  </xdr:twoCellAnchor>
  <xdr:twoCellAnchor>
    <xdr:from>
      <xdr:col>16</xdr:col>
      <xdr:colOff>11499</xdr:colOff>
      <xdr:row>23</xdr:row>
      <xdr:rowOff>18557</xdr:rowOff>
    </xdr:from>
    <xdr:to>
      <xdr:col>31</xdr:col>
      <xdr:colOff>230158</xdr:colOff>
      <xdr:row>55</xdr:row>
      <xdr:rowOff>16812</xdr:rowOff>
    </xdr:to>
    <xdr:grpSp>
      <xdr:nvGrpSpPr>
        <xdr:cNvPr id="17" name="Gruppieren 16">
          <a:extLst>
            <a:ext uri="{FF2B5EF4-FFF2-40B4-BE49-F238E27FC236}">
              <a16:creationId xmlns:a16="http://schemas.microsoft.com/office/drawing/2014/main" id="{1D279A26-A58E-FBEE-2814-7DE80DC9BF17}"/>
            </a:ext>
          </a:extLst>
        </xdr:cNvPr>
        <xdr:cNvGrpSpPr/>
      </xdr:nvGrpSpPr>
      <xdr:grpSpPr>
        <a:xfrm>
          <a:off x="14655377" y="4191414"/>
          <a:ext cx="11687536" cy="5803969"/>
          <a:chOff x="14655377" y="4191414"/>
          <a:chExt cx="11687536" cy="5803969"/>
        </a:xfrm>
      </xdr:grpSpPr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0F1C3F62-F312-4FE7-85BC-773DF06D3EFE}"/>
              </a:ext>
            </a:extLst>
          </xdr:cNvPr>
          <xdr:cNvGrpSpPr/>
        </xdr:nvGrpSpPr>
        <xdr:grpSpPr>
          <a:xfrm>
            <a:off x="14655377" y="4191414"/>
            <a:ext cx="5915643" cy="2887271"/>
            <a:chOff x="14527212" y="3868737"/>
            <a:chExt cx="5891686" cy="2873650"/>
          </a:xfrm>
        </xdr:grpSpPr>
        <xdr:grpSp>
          <xdr:nvGrpSpPr>
            <xdr:cNvPr id="4" name="Gruppieren 3">
              <a:extLst>
                <a:ext uri="{FF2B5EF4-FFF2-40B4-BE49-F238E27FC236}">
                  <a16:creationId xmlns:a16="http://schemas.microsoft.com/office/drawing/2014/main" id="{FAAA462F-D698-C3A1-5E5F-ABA2D378D085}"/>
                </a:ext>
              </a:extLst>
            </xdr:cNvPr>
            <xdr:cNvGrpSpPr/>
          </xdr:nvGrpSpPr>
          <xdr:grpSpPr>
            <a:xfrm>
              <a:off x="14527212" y="3868737"/>
              <a:ext cx="5760000" cy="2873650"/>
              <a:chOff x="14527212" y="3868737"/>
              <a:chExt cx="5760000" cy="2873650"/>
            </a:xfrm>
          </xdr:grpSpPr>
          <xdr:graphicFrame macro="">
            <xdr:nvGraphicFramePr>
              <xdr:cNvPr id="6" name="Diagramm 5">
                <a:extLst>
                  <a:ext uri="{FF2B5EF4-FFF2-40B4-BE49-F238E27FC236}">
                    <a16:creationId xmlns:a16="http://schemas.microsoft.com/office/drawing/2014/main" id="{E3E70EAB-44A3-DC69-AEEF-8A7042362D49}"/>
                  </a:ext>
                </a:extLst>
              </xdr:cNvPr>
              <xdr:cNvGraphicFramePr/>
            </xdr:nvGraphicFramePr>
            <xdr:xfrm>
              <a:off x="14527212" y="3868737"/>
              <a:ext cx="5760000" cy="287365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2"/>
              </a:graphicData>
            </a:graphic>
          </xdr:graphicFrame>
          <xdr:cxnSp macro="">
            <xdr:nvCxnSpPr>
              <xdr:cNvPr id="7" name="Gerader Verbinder 6">
                <a:extLst>
                  <a:ext uri="{FF2B5EF4-FFF2-40B4-BE49-F238E27FC236}">
                    <a16:creationId xmlns:a16="http://schemas.microsoft.com/office/drawing/2014/main" id="{97446504-748D-7668-4EE7-CB6BAC83B92F}"/>
                  </a:ext>
                </a:extLst>
              </xdr:cNvPr>
              <xdr:cNvCxnSpPr/>
            </xdr:nvCxnSpPr>
            <xdr:spPr>
              <a:xfrm>
                <a:off x="15054123" y="4854185"/>
                <a:ext cx="4832088" cy="19051"/>
              </a:xfrm>
              <a:prstGeom prst="line">
                <a:avLst/>
              </a:prstGeom>
              <a:ln w="19050">
                <a:solidFill>
                  <a:srgbClr val="C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5" name="Textfeld 4">
              <a:extLst>
                <a:ext uri="{FF2B5EF4-FFF2-40B4-BE49-F238E27FC236}">
                  <a16:creationId xmlns:a16="http://schemas.microsoft.com/office/drawing/2014/main" id="{243E19DD-2F1D-7991-1346-7007C425B5D2}"/>
                </a:ext>
              </a:extLst>
            </xdr:cNvPr>
            <xdr:cNvSpPr txBox="1"/>
          </xdr:nvSpPr>
          <xdr:spPr>
            <a:xfrm>
              <a:off x="19825106" y="4716804"/>
              <a:ext cx="593792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 sz="1100">
                  <a:solidFill>
                    <a:srgbClr val="C00000"/>
                  </a:solidFill>
                </a:rPr>
                <a:t>Ø 86%</a:t>
              </a:r>
            </a:p>
          </xdr:txBody>
        </xdr:sp>
      </xdr:grpSp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CD060A7A-A8E3-4587-9422-17566744A8D6}"/>
              </a:ext>
            </a:extLst>
          </xdr:cNvPr>
          <xdr:cNvGrpSpPr/>
        </xdr:nvGrpSpPr>
        <xdr:grpSpPr>
          <a:xfrm>
            <a:off x="20463814" y="4197901"/>
            <a:ext cx="5879099" cy="2884082"/>
            <a:chOff x="14514324" y="6875465"/>
            <a:chExt cx="5860690" cy="2873650"/>
          </a:xfrm>
        </xdr:grpSpPr>
        <xdr:graphicFrame macro="">
          <xdr:nvGraphicFramePr>
            <xdr:cNvPr id="9" name="Diagramm 8">
              <a:extLst>
                <a:ext uri="{FF2B5EF4-FFF2-40B4-BE49-F238E27FC236}">
                  <a16:creationId xmlns:a16="http://schemas.microsoft.com/office/drawing/2014/main" id="{5FC6B2BB-B5A9-3874-B93A-025A62860F6F}"/>
                </a:ext>
              </a:extLst>
            </xdr:cNvPr>
            <xdr:cNvGraphicFramePr/>
          </xdr:nvGraphicFramePr>
          <xdr:xfrm>
            <a:off x="14514324" y="6875465"/>
            <a:ext cx="5765598" cy="28736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cxnSp macro="">
          <xdr:nvCxnSpPr>
            <xdr:cNvPr id="10" name="Gerader Verbinder 9">
              <a:extLst>
                <a:ext uri="{FF2B5EF4-FFF2-40B4-BE49-F238E27FC236}">
                  <a16:creationId xmlns:a16="http://schemas.microsoft.com/office/drawing/2014/main" id="{D9744F0F-95B1-159E-AC18-7F9DFC57CB0E}"/>
                </a:ext>
              </a:extLst>
            </xdr:cNvPr>
            <xdr:cNvCxnSpPr/>
          </xdr:nvCxnSpPr>
          <xdr:spPr>
            <a:xfrm>
              <a:off x="15025302" y="7670028"/>
              <a:ext cx="4831482" cy="19093"/>
            </a:xfrm>
            <a:prstGeom prst="line">
              <a:avLst/>
            </a:prstGeom>
            <a:ln w="19050">
              <a:solidFill>
                <a:srgbClr val="C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Textfeld 10">
              <a:extLst>
                <a:ext uri="{FF2B5EF4-FFF2-40B4-BE49-F238E27FC236}">
                  <a16:creationId xmlns:a16="http://schemas.microsoft.com/office/drawing/2014/main" id="{446A6B0C-9D9A-B86E-AB8E-F3F896557849}"/>
                </a:ext>
              </a:extLst>
            </xdr:cNvPr>
            <xdr:cNvSpPr txBox="1"/>
          </xdr:nvSpPr>
          <xdr:spPr>
            <a:xfrm>
              <a:off x="19780906" y="7568322"/>
              <a:ext cx="594108" cy="2863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 sz="1100">
                  <a:solidFill>
                    <a:srgbClr val="C00000"/>
                  </a:solidFill>
                </a:rPr>
                <a:t>Ø 97%</a:t>
              </a:r>
            </a:p>
          </xdr:txBody>
        </xdr:sp>
      </xdr:grpSp>
      <xdr:grpSp>
        <xdr:nvGrpSpPr>
          <xdr:cNvPr id="12" name="Gruppieren 11">
            <a:extLst>
              <a:ext uri="{FF2B5EF4-FFF2-40B4-BE49-F238E27FC236}">
                <a16:creationId xmlns:a16="http://schemas.microsoft.com/office/drawing/2014/main" id="{C9340B2A-E28D-4713-B75E-4BD96956E3F0}"/>
              </a:ext>
            </a:extLst>
          </xdr:cNvPr>
          <xdr:cNvGrpSpPr/>
        </xdr:nvGrpSpPr>
        <xdr:grpSpPr>
          <a:xfrm>
            <a:off x="17676327" y="7108112"/>
            <a:ext cx="5889724" cy="2887271"/>
            <a:chOff x="14527212" y="3868737"/>
            <a:chExt cx="5865872" cy="2873650"/>
          </a:xfrm>
        </xdr:grpSpPr>
        <xdr:grpSp>
          <xdr:nvGrpSpPr>
            <xdr:cNvPr id="13" name="Gruppieren 12">
              <a:extLst>
                <a:ext uri="{FF2B5EF4-FFF2-40B4-BE49-F238E27FC236}">
                  <a16:creationId xmlns:a16="http://schemas.microsoft.com/office/drawing/2014/main" id="{89A72902-D55E-AFFD-7044-989B087E8F3A}"/>
                </a:ext>
              </a:extLst>
            </xdr:cNvPr>
            <xdr:cNvGrpSpPr/>
          </xdr:nvGrpSpPr>
          <xdr:grpSpPr>
            <a:xfrm>
              <a:off x="14527212" y="3868737"/>
              <a:ext cx="5760000" cy="2873650"/>
              <a:chOff x="14527212" y="3868737"/>
              <a:chExt cx="5760000" cy="2873650"/>
            </a:xfrm>
          </xdr:grpSpPr>
          <xdr:graphicFrame macro="">
            <xdr:nvGraphicFramePr>
              <xdr:cNvPr id="15" name="Diagramm 14">
                <a:extLst>
                  <a:ext uri="{FF2B5EF4-FFF2-40B4-BE49-F238E27FC236}">
                    <a16:creationId xmlns:a16="http://schemas.microsoft.com/office/drawing/2014/main" id="{2563CAA8-2672-44A3-85B1-2D23196C16AE}"/>
                  </a:ext>
                </a:extLst>
              </xdr:cNvPr>
              <xdr:cNvGraphicFramePr/>
            </xdr:nvGraphicFramePr>
            <xdr:xfrm>
              <a:off x="14527212" y="3868737"/>
              <a:ext cx="5760000" cy="287365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  <xdr:cxnSp macro="">
            <xdr:nvCxnSpPr>
              <xdr:cNvPr id="16" name="Gerader Verbinder 15">
                <a:extLst>
                  <a:ext uri="{FF2B5EF4-FFF2-40B4-BE49-F238E27FC236}">
                    <a16:creationId xmlns:a16="http://schemas.microsoft.com/office/drawing/2014/main" id="{DA53C3F4-1CC5-868B-8AC8-D1444D54D8D8}"/>
                  </a:ext>
                </a:extLst>
              </xdr:cNvPr>
              <xdr:cNvCxnSpPr/>
            </xdr:nvCxnSpPr>
            <xdr:spPr>
              <a:xfrm>
                <a:off x="15015402" y="4796144"/>
                <a:ext cx="4832088" cy="19051"/>
              </a:xfrm>
              <a:prstGeom prst="line">
                <a:avLst/>
              </a:prstGeom>
              <a:ln w="19050">
                <a:solidFill>
                  <a:srgbClr val="C0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4" name="Textfeld 13">
              <a:extLst>
                <a:ext uri="{FF2B5EF4-FFF2-40B4-BE49-F238E27FC236}">
                  <a16:creationId xmlns:a16="http://schemas.microsoft.com/office/drawing/2014/main" id="{F6C441D1-3E3A-AAB4-A18A-225D03D769C8}"/>
                </a:ext>
              </a:extLst>
            </xdr:cNvPr>
            <xdr:cNvSpPr txBox="1"/>
          </xdr:nvSpPr>
          <xdr:spPr>
            <a:xfrm>
              <a:off x="19799292" y="4703905"/>
              <a:ext cx="593792" cy="2762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 sz="1100">
                  <a:solidFill>
                    <a:srgbClr val="C00000"/>
                  </a:solidFill>
                </a:rPr>
                <a:t>Ø 89%</a:t>
              </a: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8</xdr:col>
      <xdr:colOff>0</xdr:colOff>
      <xdr:row>31</xdr:row>
      <xdr:rowOff>139700</xdr:rowOff>
    </xdr:to>
    <xdr:pic>
      <xdr:nvPicPr>
        <xdr:cNvPr id="2" name="Bild 1">
          <a:extLst>
            <a:ext uri="{FF2B5EF4-FFF2-40B4-BE49-F238E27FC236}">
              <a16:creationId xmlns:a16="http://schemas.microsoft.com/office/drawing/2014/main" id="{D9086882-9121-446C-A754-1A379C8B1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0850" y="4235450"/>
          <a:ext cx="5867400" cy="1612900"/>
        </a:xfrm>
        <a:prstGeom prst="rect">
          <a:avLst/>
        </a:prstGeom>
      </xdr:spPr>
    </xdr:pic>
    <xdr:clientData/>
  </xdr:twoCellAnchor>
  <xdr:twoCellAnchor>
    <xdr:from>
      <xdr:col>13</xdr:col>
      <xdr:colOff>598486</xdr:colOff>
      <xdr:row>21</xdr:row>
      <xdr:rowOff>163512</xdr:rowOff>
    </xdr:from>
    <xdr:to>
      <xdr:col>21</xdr:col>
      <xdr:colOff>262486</xdr:colOff>
      <xdr:row>37</xdr:row>
      <xdr:rowOff>141562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CFF502D-D48D-4475-9CE2-1D9F2423A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579437</xdr:colOff>
      <xdr:row>38</xdr:row>
      <xdr:rowOff>160336</xdr:rowOff>
    </xdr:from>
    <xdr:to>
      <xdr:col>21</xdr:col>
      <xdr:colOff>249787</xdr:colOff>
      <xdr:row>54</xdr:row>
      <xdr:rowOff>144736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60904F6-5860-49FA-AC5F-BAFB84552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554037</xdr:colOff>
      <xdr:row>21</xdr:row>
      <xdr:rowOff>141286</xdr:rowOff>
    </xdr:from>
    <xdr:to>
      <xdr:col>29</xdr:col>
      <xdr:colOff>221212</xdr:colOff>
      <xdr:row>37</xdr:row>
      <xdr:rowOff>125686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A343F39-CEF3-4E6C-AF97-E6A96412A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534987</xdr:colOff>
      <xdr:row>38</xdr:row>
      <xdr:rowOff>150811</xdr:rowOff>
    </xdr:from>
    <xdr:to>
      <xdr:col>29</xdr:col>
      <xdr:colOff>198987</xdr:colOff>
      <xdr:row>54</xdr:row>
      <xdr:rowOff>135211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C95EAB66-D47B-48A9-B4D3-23450A1DB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598487</xdr:colOff>
      <xdr:row>56</xdr:row>
      <xdr:rowOff>55562</xdr:rowOff>
    </xdr:from>
    <xdr:to>
      <xdr:col>21</xdr:col>
      <xdr:colOff>265662</xdr:colOff>
      <xdr:row>72</xdr:row>
      <xdr:rowOff>39962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5634410A-A34A-4B6D-8450-95F06357A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608012</xdr:colOff>
      <xdr:row>73</xdr:row>
      <xdr:rowOff>7936</xdr:rowOff>
    </xdr:from>
    <xdr:to>
      <xdr:col>21</xdr:col>
      <xdr:colOff>275187</xdr:colOff>
      <xdr:row>88</xdr:row>
      <xdr:rowOff>173311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EC4DE6F8-69A3-410B-9241-4084BD94F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522287</xdr:colOff>
      <xdr:row>56</xdr:row>
      <xdr:rowOff>46037</xdr:rowOff>
    </xdr:from>
    <xdr:to>
      <xdr:col>29</xdr:col>
      <xdr:colOff>186287</xdr:colOff>
      <xdr:row>72</xdr:row>
      <xdr:rowOff>30437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1262D879-29AF-4093-87DB-4DA246C71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515937</xdr:colOff>
      <xdr:row>73</xdr:row>
      <xdr:rowOff>1587</xdr:rowOff>
    </xdr:from>
    <xdr:to>
      <xdr:col>29</xdr:col>
      <xdr:colOff>173587</xdr:colOff>
      <xdr:row>88</xdr:row>
      <xdr:rowOff>160612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C9064209-55D4-4820-A732-4217824AA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0</xdr:colOff>
      <xdr:row>33</xdr:row>
      <xdr:rowOff>171174</xdr:rowOff>
    </xdr:from>
    <xdr:to>
      <xdr:col>47</xdr:col>
      <xdr:colOff>473625</xdr:colOff>
      <xdr:row>65</xdr:row>
      <xdr:rowOff>156757</xdr:rowOff>
    </xdr:to>
    <xdr:grpSp>
      <xdr:nvGrpSpPr>
        <xdr:cNvPr id="15" name="Gruppieren 14">
          <a:extLst>
            <a:ext uri="{FF2B5EF4-FFF2-40B4-BE49-F238E27FC236}">
              <a16:creationId xmlns:a16="http://schemas.microsoft.com/office/drawing/2014/main" id="{54C3A00F-130C-76B6-6951-C762946DB0AD}"/>
            </a:ext>
          </a:extLst>
        </xdr:cNvPr>
        <xdr:cNvGrpSpPr/>
      </xdr:nvGrpSpPr>
      <xdr:grpSpPr>
        <a:xfrm>
          <a:off x="27005643" y="6158317"/>
          <a:ext cx="11531696" cy="5791297"/>
          <a:chOff x="26961353" y="6334409"/>
          <a:chExt cx="11537566" cy="5962054"/>
        </a:xfrm>
      </xdr:grpSpPr>
      <xdr:graphicFrame macro="">
        <xdr:nvGraphicFramePr>
          <xdr:cNvPr id="11" name="Diagramm 10">
            <a:extLst>
              <a:ext uri="{FF2B5EF4-FFF2-40B4-BE49-F238E27FC236}">
                <a16:creationId xmlns:a16="http://schemas.microsoft.com/office/drawing/2014/main" id="{21BE1FB3-EB28-474D-92C1-236C6402C711}"/>
              </a:ext>
            </a:extLst>
          </xdr:cNvPr>
          <xdr:cNvGraphicFramePr>
            <a:graphicFrameLocks/>
          </xdr:cNvGraphicFramePr>
        </xdr:nvGraphicFramePr>
        <xdr:xfrm>
          <a:off x="26961353" y="6350000"/>
          <a:ext cx="5765870" cy="29609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12" name="Diagramm 11">
            <a:extLst>
              <a:ext uri="{FF2B5EF4-FFF2-40B4-BE49-F238E27FC236}">
                <a16:creationId xmlns:a16="http://schemas.microsoft.com/office/drawing/2014/main" id="{F6A869B3-DA6E-42E2-8CB0-E0BF3CBDA220}"/>
              </a:ext>
            </a:extLst>
          </xdr:cNvPr>
          <xdr:cNvGraphicFramePr>
            <a:graphicFrameLocks/>
          </xdr:cNvGraphicFramePr>
        </xdr:nvGraphicFramePr>
        <xdr:xfrm>
          <a:off x="26964074" y="9323828"/>
          <a:ext cx="5772220" cy="29726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13" name="Diagramm 12">
            <a:extLst>
              <a:ext uri="{FF2B5EF4-FFF2-40B4-BE49-F238E27FC236}">
                <a16:creationId xmlns:a16="http://schemas.microsoft.com/office/drawing/2014/main" id="{E2B174A5-D3E8-4CF6-8789-E4B9548891E8}"/>
              </a:ext>
            </a:extLst>
          </xdr:cNvPr>
          <xdr:cNvGraphicFramePr>
            <a:graphicFrameLocks/>
          </xdr:cNvGraphicFramePr>
        </xdr:nvGraphicFramePr>
        <xdr:xfrm>
          <a:off x="32735744" y="6334409"/>
          <a:ext cx="5763175" cy="297456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graphicFrame macro="">
        <xdr:nvGraphicFramePr>
          <xdr:cNvPr id="14" name="Diagramm 13">
            <a:extLst>
              <a:ext uri="{FF2B5EF4-FFF2-40B4-BE49-F238E27FC236}">
                <a16:creationId xmlns:a16="http://schemas.microsoft.com/office/drawing/2014/main" id="{5415B265-C24F-4EDF-B30A-1286E198E6EA}"/>
              </a:ext>
            </a:extLst>
          </xdr:cNvPr>
          <xdr:cNvGraphicFramePr>
            <a:graphicFrameLocks/>
          </xdr:cNvGraphicFramePr>
        </xdr:nvGraphicFramePr>
        <xdr:xfrm>
          <a:off x="32736118" y="9323294"/>
          <a:ext cx="5760000" cy="29726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>
    <xdr:from>
      <xdr:col>33</xdr:col>
      <xdr:colOff>0</xdr:colOff>
      <xdr:row>68</xdr:row>
      <xdr:rowOff>7470</xdr:rowOff>
    </xdr:from>
    <xdr:to>
      <xdr:col>47</xdr:col>
      <xdr:colOff>463353</xdr:colOff>
      <xdr:row>99</xdr:row>
      <xdr:rowOff>165374</xdr:rowOff>
    </xdr:to>
    <xdr:grpSp>
      <xdr:nvGrpSpPr>
        <xdr:cNvPr id="20" name="Gruppieren 19">
          <a:extLst>
            <a:ext uri="{FF2B5EF4-FFF2-40B4-BE49-F238E27FC236}">
              <a16:creationId xmlns:a16="http://schemas.microsoft.com/office/drawing/2014/main" id="{35B9873D-5652-4A12-07F6-1D88B527BD56}"/>
            </a:ext>
          </a:extLst>
        </xdr:cNvPr>
        <xdr:cNvGrpSpPr/>
      </xdr:nvGrpSpPr>
      <xdr:grpSpPr>
        <a:xfrm>
          <a:off x="27005643" y="12344613"/>
          <a:ext cx="11521424" cy="5782190"/>
          <a:chOff x="27005643" y="12344613"/>
          <a:chExt cx="11521424" cy="5782190"/>
        </a:xfrm>
      </xdr:grpSpPr>
      <xdr:graphicFrame macro="">
        <xdr:nvGraphicFramePr>
          <xdr:cNvPr id="16" name="Diagramm 15">
            <a:extLst>
              <a:ext uri="{FF2B5EF4-FFF2-40B4-BE49-F238E27FC236}">
                <a16:creationId xmlns:a16="http://schemas.microsoft.com/office/drawing/2014/main" id="{883AE315-0E88-477C-9AF7-3C03B7A9FE1E}"/>
              </a:ext>
            </a:extLst>
          </xdr:cNvPr>
          <xdr:cNvGraphicFramePr>
            <a:graphicFrameLocks/>
          </xdr:cNvGraphicFramePr>
        </xdr:nvGraphicFramePr>
        <xdr:xfrm>
          <a:off x="27005643" y="12346214"/>
          <a:ext cx="5763175" cy="28872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17" name="Diagramm 16">
            <a:extLst>
              <a:ext uri="{FF2B5EF4-FFF2-40B4-BE49-F238E27FC236}">
                <a16:creationId xmlns:a16="http://schemas.microsoft.com/office/drawing/2014/main" id="{5942C3BC-6642-4B76-8889-3C81A9260505}"/>
              </a:ext>
            </a:extLst>
          </xdr:cNvPr>
          <xdr:cNvGraphicFramePr>
            <a:graphicFrameLocks/>
          </xdr:cNvGraphicFramePr>
        </xdr:nvGraphicFramePr>
        <xdr:xfrm>
          <a:off x="32767067" y="12344613"/>
          <a:ext cx="5760000" cy="28925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18" name="Diagramm 17">
            <a:extLst>
              <a:ext uri="{FF2B5EF4-FFF2-40B4-BE49-F238E27FC236}">
                <a16:creationId xmlns:a16="http://schemas.microsoft.com/office/drawing/2014/main" id="{9655BFC0-A3BD-43FA-9974-D7F1CD2AE464}"/>
              </a:ext>
            </a:extLst>
          </xdr:cNvPr>
          <xdr:cNvGraphicFramePr>
            <a:graphicFrameLocks/>
          </xdr:cNvGraphicFramePr>
        </xdr:nvGraphicFramePr>
        <xdr:xfrm>
          <a:off x="27005643" y="15240000"/>
          <a:ext cx="5757305" cy="28868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19" name="Diagramm 18">
            <a:extLst>
              <a:ext uri="{FF2B5EF4-FFF2-40B4-BE49-F238E27FC236}">
                <a16:creationId xmlns:a16="http://schemas.microsoft.com/office/drawing/2014/main" id="{DC56B3DA-8A1A-4A9B-97D4-FD121642927F}"/>
              </a:ext>
            </a:extLst>
          </xdr:cNvPr>
          <xdr:cNvGraphicFramePr>
            <a:graphicFrameLocks/>
          </xdr:cNvGraphicFramePr>
        </xdr:nvGraphicFramePr>
        <xdr:xfrm>
          <a:off x="32767066" y="15240001"/>
          <a:ext cx="5753650" cy="288045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18</xdr:row>
      <xdr:rowOff>139700</xdr:rowOff>
    </xdr:from>
    <xdr:to>
      <xdr:col>15</xdr:col>
      <xdr:colOff>120650</xdr:colOff>
      <xdr:row>48</xdr:row>
      <xdr:rowOff>114300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46CDCBC6-A870-C360-6CF5-B38351992348}"/>
            </a:ext>
          </a:extLst>
        </xdr:cNvPr>
        <xdr:cNvGrpSpPr/>
      </xdr:nvGrpSpPr>
      <xdr:grpSpPr>
        <a:xfrm>
          <a:off x="2905125" y="3454400"/>
          <a:ext cx="9140825" cy="5499100"/>
          <a:chOff x="2905125" y="3454400"/>
          <a:chExt cx="9140825" cy="5499100"/>
        </a:xfrm>
      </xdr:grpSpPr>
      <xdr:graphicFrame macro="">
        <xdr:nvGraphicFramePr>
          <xdr:cNvPr id="2" name="Diagramm 1">
            <a:extLst>
              <a:ext uri="{FF2B5EF4-FFF2-40B4-BE49-F238E27FC236}">
                <a16:creationId xmlns:a16="http://schemas.microsoft.com/office/drawing/2014/main" id="{300A0DED-7A7E-41A7-A9EC-58B86931FE17}"/>
              </a:ext>
            </a:extLst>
          </xdr:cNvPr>
          <xdr:cNvGraphicFramePr>
            <a:graphicFrameLocks/>
          </xdr:cNvGraphicFramePr>
        </xdr:nvGraphicFramePr>
        <xdr:xfrm>
          <a:off x="2905125" y="34544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DFE212ED-7605-4E7B-99F8-1779574914D9}"/>
              </a:ext>
            </a:extLst>
          </xdr:cNvPr>
          <xdr:cNvGraphicFramePr>
            <a:graphicFrameLocks/>
          </xdr:cNvGraphicFramePr>
        </xdr:nvGraphicFramePr>
        <xdr:xfrm>
          <a:off x="7473950" y="34544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Diagramm 3">
            <a:extLst>
              <a:ext uri="{FF2B5EF4-FFF2-40B4-BE49-F238E27FC236}">
                <a16:creationId xmlns:a16="http://schemas.microsoft.com/office/drawing/2014/main" id="{0C6246BB-B3C5-4CFC-977A-32D2BD6CD940}"/>
              </a:ext>
            </a:extLst>
          </xdr:cNvPr>
          <xdr:cNvGraphicFramePr>
            <a:graphicFrameLocks/>
          </xdr:cNvGraphicFramePr>
        </xdr:nvGraphicFramePr>
        <xdr:xfrm>
          <a:off x="5175250" y="62103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152400</xdr:rowOff>
    </xdr:from>
    <xdr:to>
      <xdr:col>7</xdr:col>
      <xdr:colOff>714375</xdr:colOff>
      <xdr:row>9</xdr:row>
      <xdr:rowOff>114300</xdr:rowOff>
    </xdr:to>
    <xdr:pic>
      <xdr:nvPicPr>
        <xdr:cNvPr id="5" name="Bild 1">
          <a:extLst>
            <a:ext uri="{FF2B5EF4-FFF2-40B4-BE49-F238E27FC236}">
              <a16:creationId xmlns:a16="http://schemas.microsoft.com/office/drawing/2014/main" id="{7582627E-2D5B-BA22-5587-9438FBE46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2400"/>
          <a:ext cx="5619750" cy="1676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iagramme_2.xlsx" TargetMode="External"/><Relationship Id="rId2" Type="http://schemas.openxmlformats.org/officeDocument/2006/relationships/externalLinkPath" Target="file:///C:\Users\Hauke\Desktop\Uni\Winfo\Master\SoSe%2026\Unternehmensmodellierung\Hausarbeit\Auswertung\Diagramme_2.xlsx" TargetMode="External"/><Relationship Id="rId1" Type="http://schemas.openxmlformats.org/officeDocument/2006/relationships/externalLinkPath" Target="/Users/Hauke/Desktop/Uni/Winfo/Master/SoSe%2026/Unternehmensmodellierung/Hausarbeit/Auswertung/Diagramme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Diagramme_Importierbarkeit"/>
      <sheetName val="Diagramme_Completness"/>
      <sheetName val="Diagramme_Precision"/>
      <sheetName val="Diagramme_Quality"/>
      <sheetName val="Importability_Gemma"/>
      <sheetName val="Completeness_Gemma"/>
      <sheetName val="Precision_Gemma"/>
      <sheetName val="Quality_Gemma"/>
      <sheetName val="Importability_Ministral"/>
      <sheetName val="Completeness_Ministral"/>
      <sheetName val="Precision_Ministral"/>
      <sheetName val="Quality_Ministral"/>
      <sheetName val="Intermodel Relations_OpenAI"/>
      <sheetName val="Import_Intermodel_Gemma 4b"/>
      <sheetName val="Complete_Intermodel_Gemma 4b"/>
      <sheetName val="Completeness_OpenAI"/>
      <sheetName val="Completeness_Gemini"/>
      <sheetName val="Importability_OpenAI"/>
      <sheetName val="Importability_Gemini"/>
    </sheetNames>
    <sheetDataSet>
      <sheetData sheetId="0"/>
      <sheetData sheetId="1">
        <row r="4">
          <cell r="W4" t="str">
            <v>Controlled</v>
          </cell>
          <cell r="AI4" t="str">
            <v>Organized</v>
          </cell>
        </row>
        <row r="5">
          <cell r="O5" t="str">
            <v>ARM</v>
          </cell>
          <cell r="W5">
            <v>0.91666666666666663</v>
          </cell>
          <cell r="AI5">
            <v>0.91666666666666663</v>
          </cell>
        </row>
        <row r="6">
          <cell r="O6" t="str">
            <v>BPM</v>
          </cell>
          <cell r="W6">
            <v>1</v>
          </cell>
          <cell r="AI6">
            <v>0.76190476190476186</v>
          </cell>
        </row>
        <row r="7">
          <cell r="O7" t="str">
            <v>CM</v>
          </cell>
          <cell r="W7">
            <v>1</v>
          </cell>
          <cell r="AI7">
            <v>0.5</v>
          </cell>
        </row>
        <row r="8">
          <cell r="O8" t="str">
            <v>GM</v>
          </cell>
          <cell r="W8">
            <v>1</v>
          </cell>
          <cell r="AI8">
            <v>0.58333333333333337</v>
          </cell>
        </row>
        <row r="9">
          <cell r="O9" t="str">
            <v>PM</v>
          </cell>
          <cell r="W9">
            <v>1</v>
          </cell>
          <cell r="AI9">
            <v>1</v>
          </cell>
        </row>
        <row r="10">
          <cell r="O10" t="str">
            <v>TRM</v>
          </cell>
          <cell r="W10">
            <v>1</v>
          </cell>
          <cell r="AI10">
            <v>1</v>
          </cell>
        </row>
      </sheetData>
      <sheetData sheetId="2">
        <row r="10">
          <cell r="B10">
            <v>22</v>
          </cell>
          <cell r="C10">
            <v>10</v>
          </cell>
          <cell r="D10">
            <v>36</v>
          </cell>
          <cell r="E10">
            <v>24</v>
          </cell>
          <cell r="F10">
            <v>69</v>
          </cell>
          <cell r="G10">
            <v>51</v>
          </cell>
          <cell r="H10">
            <v>109</v>
          </cell>
          <cell r="I10">
            <v>85</v>
          </cell>
          <cell r="J10">
            <v>236</v>
          </cell>
          <cell r="K10">
            <v>170</v>
          </cell>
        </row>
      </sheetData>
      <sheetData sheetId="3"/>
      <sheetData sheetId="4">
        <row r="13">
          <cell r="C13" t="str">
            <v>S1</v>
          </cell>
          <cell r="D13" t="str">
            <v>S2</v>
          </cell>
          <cell r="E13" t="str">
            <v>S3</v>
          </cell>
          <cell r="F13" t="str">
            <v>S4</v>
          </cell>
        </row>
        <row r="14">
          <cell r="B14" t="str">
            <v>Gemma 4b controlled</v>
          </cell>
          <cell r="C14">
            <v>4.833333333333333</v>
          </cell>
          <cell r="D14">
            <v>4.166666666666667</v>
          </cell>
          <cell r="E14">
            <v>3.4285714285714284</v>
          </cell>
          <cell r="F14">
            <v>3.125</v>
          </cell>
        </row>
        <row r="16">
          <cell r="B16" t="str">
            <v>Gemma 4b organized</v>
          </cell>
          <cell r="C16">
            <v>4.666666666666667</v>
          </cell>
          <cell r="D16">
            <v>3.3333333333333335</v>
          </cell>
          <cell r="E16">
            <v>2.4285714285714284</v>
          </cell>
          <cell r="F16">
            <v>2.875</v>
          </cell>
        </row>
      </sheetData>
      <sheetData sheetId="5">
        <row r="4">
          <cell r="B4">
            <v>3</v>
          </cell>
          <cell r="C4">
            <v>3</v>
          </cell>
          <cell r="D4">
            <v>3</v>
          </cell>
          <cell r="F4">
            <v>2</v>
          </cell>
        </row>
        <row r="5">
          <cell r="B5">
            <v>3</v>
          </cell>
          <cell r="C5">
            <v>3</v>
          </cell>
          <cell r="D5">
            <v>3</v>
          </cell>
          <cell r="E5">
            <v>3</v>
          </cell>
          <cell r="F5">
            <v>3</v>
          </cell>
          <cell r="G5">
            <v>3</v>
          </cell>
          <cell r="H5">
            <v>3</v>
          </cell>
        </row>
        <row r="6">
          <cell r="B6">
            <v>3</v>
          </cell>
          <cell r="C6">
            <v>3</v>
          </cell>
          <cell r="D6">
            <v>3</v>
          </cell>
          <cell r="F6">
            <v>3</v>
          </cell>
        </row>
        <row r="7">
          <cell r="B7">
            <v>3</v>
          </cell>
          <cell r="C7">
            <v>3</v>
          </cell>
          <cell r="D7">
            <v>3</v>
          </cell>
          <cell r="F7">
            <v>3</v>
          </cell>
        </row>
        <row r="8">
          <cell r="B8">
            <v>3</v>
          </cell>
          <cell r="C8">
            <v>3</v>
          </cell>
          <cell r="D8">
            <v>3</v>
          </cell>
          <cell r="F8">
            <v>3</v>
          </cell>
        </row>
        <row r="9">
          <cell r="B9">
            <v>3</v>
          </cell>
          <cell r="C9">
            <v>3</v>
          </cell>
          <cell r="D9">
            <v>3</v>
          </cell>
          <cell r="F9">
            <v>3</v>
          </cell>
        </row>
        <row r="17">
          <cell r="B17">
            <v>1</v>
          </cell>
          <cell r="C17">
            <v>1</v>
          </cell>
          <cell r="D17">
            <v>1</v>
          </cell>
          <cell r="F17">
            <v>1</v>
          </cell>
        </row>
        <row r="18">
          <cell r="B18">
            <v>1</v>
          </cell>
          <cell r="C18">
            <v>2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1</v>
          </cell>
        </row>
        <row r="19">
          <cell r="B19">
            <v>2</v>
          </cell>
          <cell r="C19">
            <v>2</v>
          </cell>
          <cell r="D19">
            <v>2</v>
          </cell>
          <cell r="F19">
            <v>1</v>
          </cell>
        </row>
        <row r="20">
          <cell r="B20">
            <v>2</v>
          </cell>
          <cell r="C20">
            <v>1</v>
          </cell>
          <cell r="D20">
            <v>1</v>
          </cell>
          <cell r="F20">
            <v>0</v>
          </cell>
        </row>
        <row r="21">
          <cell r="B21">
            <v>1</v>
          </cell>
          <cell r="C21">
            <v>1</v>
          </cell>
          <cell r="D21">
            <v>1</v>
          </cell>
          <cell r="F21">
            <v>1</v>
          </cell>
        </row>
        <row r="22">
          <cell r="B22">
            <v>1</v>
          </cell>
          <cell r="C22">
            <v>1</v>
          </cell>
          <cell r="D22">
            <v>1</v>
          </cell>
          <cell r="F22">
            <v>1</v>
          </cell>
        </row>
        <row r="30">
          <cell r="B30">
            <v>3</v>
          </cell>
          <cell r="C30">
            <v>2</v>
          </cell>
          <cell r="D30">
            <v>3</v>
          </cell>
          <cell r="F30">
            <v>3</v>
          </cell>
        </row>
        <row r="31">
          <cell r="B31">
            <v>3</v>
          </cell>
          <cell r="C31">
            <v>3</v>
          </cell>
          <cell r="D31">
            <v>3</v>
          </cell>
          <cell r="E31">
            <v>0</v>
          </cell>
          <cell r="F31">
            <v>3</v>
          </cell>
          <cell r="G31">
            <v>1</v>
          </cell>
          <cell r="H31">
            <v>3</v>
          </cell>
        </row>
        <row r="32">
          <cell r="B32">
            <v>3</v>
          </cell>
          <cell r="C32">
            <v>0</v>
          </cell>
          <cell r="D32">
            <v>0</v>
          </cell>
          <cell r="F32">
            <v>3</v>
          </cell>
        </row>
        <row r="33">
          <cell r="B33">
            <v>3</v>
          </cell>
          <cell r="C33">
            <v>1</v>
          </cell>
          <cell r="D33">
            <v>3</v>
          </cell>
          <cell r="F33">
            <v>0</v>
          </cell>
        </row>
        <row r="34">
          <cell r="B34">
            <v>3</v>
          </cell>
          <cell r="C34">
            <v>3</v>
          </cell>
          <cell r="D34">
            <v>3</v>
          </cell>
          <cell r="F34">
            <v>3</v>
          </cell>
        </row>
        <row r="35">
          <cell r="B35">
            <v>3</v>
          </cell>
          <cell r="C35">
            <v>3</v>
          </cell>
          <cell r="D35">
            <v>3</v>
          </cell>
          <cell r="F35">
            <v>3</v>
          </cell>
        </row>
        <row r="43">
          <cell r="B43">
            <v>2</v>
          </cell>
          <cell r="C43">
            <v>1</v>
          </cell>
          <cell r="D43">
            <v>1</v>
          </cell>
          <cell r="F43">
            <v>1</v>
          </cell>
        </row>
        <row r="44">
          <cell r="B44">
            <v>0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2</v>
          </cell>
          <cell r="H44">
            <v>1</v>
          </cell>
        </row>
        <row r="45">
          <cell r="B45">
            <v>1</v>
          </cell>
          <cell r="C45">
            <v>0</v>
          </cell>
          <cell r="D45">
            <v>0</v>
          </cell>
          <cell r="F45">
            <v>0</v>
          </cell>
        </row>
        <row r="46">
          <cell r="B46">
            <v>1</v>
          </cell>
          <cell r="C46">
            <v>1</v>
          </cell>
          <cell r="D46">
            <v>0</v>
          </cell>
          <cell r="F46">
            <v>0</v>
          </cell>
        </row>
        <row r="47">
          <cell r="B47">
            <v>1</v>
          </cell>
          <cell r="C47">
            <v>1</v>
          </cell>
          <cell r="D47">
            <v>1</v>
          </cell>
          <cell r="F47">
            <v>1</v>
          </cell>
        </row>
        <row r="48">
          <cell r="B48">
            <v>1</v>
          </cell>
          <cell r="C48">
            <v>0</v>
          </cell>
          <cell r="D48">
            <v>0</v>
          </cell>
          <cell r="F48">
            <v>0</v>
          </cell>
        </row>
      </sheetData>
      <sheetData sheetId="6">
        <row r="4">
          <cell r="K4">
            <v>25</v>
          </cell>
          <cell r="L4">
            <v>18</v>
          </cell>
        </row>
        <row r="5">
          <cell r="K5">
            <v>55</v>
          </cell>
          <cell r="L5">
            <v>35</v>
          </cell>
        </row>
        <row r="6">
          <cell r="K6">
            <v>61</v>
          </cell>
          <cell r="L6">
            <v>25</v>
          </cell>
        </row>
        <row r="7">
          <cell r="K7">
            <v>26</v>
          </cell>
          <cell r="L7">
            <v>21</v>
          </cell>
        </row>
        <row r="8">
          <cell r="K8">
            <v>34</v>
          </cell>
          <cell r="L8">
            <v>26</v>
          </cell>
        </row>
        <row r="9">
          <cell r="K9">
            <v>28</v>
          </cell>
          <cell r="L9">
            <v>17</v>
          </cell>
        </row>
        <row r="17">
          <cell r="K17">
            <v>25</v>
          </cell>
          <cell r="L17">
            <v>17</v>
          </cell>
        </row>
        <row r="18">
          <cell r="K18">
            <v>54</v>
          </cell>
          <cell r="L18">
            <v>40</v>
          </cell>
        </row>
        <row r="19">
          <cell r="K19">
            <v>60</v>
          </cell>
          <cell r="L19">
            <v>26</v>
          </cell>
        </row>
        <row r="20">
          <cell r="K20">
            <v>15</v>
          </cell>
          <cell r="L20">
            <v>12</v>
          </cell>
        </row>
        <row r="21">
          <cell r="K21">
            <v>36</v>
          </cell>
          <cell r="L21">
            <v>23</v>
          </cell>
        </row>
        <row r="22">
          <cell r="K22">
            <v>28</v>
          </cell>
          <cell r="L22">
            <v>18</v>
          </cell>
        </row>
        <row r="30">
          <cell r="K30">
            <v>23</v>
          </cell>
          <cell r="L30">
            <v>15</v>
          </cell>
        </row>
        <row r="31">
          <cell r="K31">
            <v>46</v>
          </cell>
          <cell r="L31">
            <v>40</v>
          </cell>
        </row>
        <row r="32">
          <cell r="K32">
            <v>34</v>
          </cell>
          <cell r="L32">
            <v>13</v>
          </cell>
        </row>
        <row r="33">
          <cell r="K33">
            <v>11</v>
          </cell>
          <cell r="L33">
            <v>7</v>
          </cell>
        </row>
        <row r="34">
          <cell r="K34">
            <v>30</v>
          </cell>
          <cell r="L34">
            <v>16</v>
          </cell>
        </row>
        <row r="35">
          <cell r="K35">
            <v>28</v>
          </cell>
          <cell r="L35">
            <v>17</v>
          </cell>
        </row>
        <row r="43">
          <cell r="K43">
            <v>25</v>
          </cell>
          <cell r="L43">
            <v>17</v>
          </cell>
        </row>
        <row r="44">
          <cell r="K44">
            <v>46</v>
          </cell>
          <cell r="L44">
            <v>37</v>
          </cell>
        </row>
        <row r="45">
          <cell r="K45">
            <v>6</v>
          </cell>
          <cell r="L45">
            <v>0</v>
          </cell>
        </row>
        <row r="46">
          <cell r="K46">
            <v>6</v>
          </cell>
          <cell r="L46">
            <v>4</v>
          </cell>
        </row>
        <row r="47">
          <cell r="K47">
            <v>35</v>
          </cell>
          <cell r="L47">
            <v>23</v>
          </cell>
        </row>
        <row r="48">
          <cell r="K48">
            <v>2</v>
          </cell>
          <cell r="L4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K4">
            <v>25</v>
          </cell>
          <cell r="L4">
            <v>21</v>
          </cell>
        </row>
        <row r="5">
          <cell r="K5">
            <v>52</v>
          </cell>
          <cell r="L5">
            <v>46</v>
          </cell>
        </row>
        <row r="6">
          <cell r="K6">
            <v>57</v>
          </cell>
          <cell r="L6">
            <v>9</v>
          </cell>
        </row>
        <row r="7">
          <cell r="K7">
            <v>28</v>
          </cell>
          <cell r="L7">
            <v>24</v>
          </cell>
        </row>
        <row r="8">
          <cell r="K8">
            <v>26</v>
          </cell>
          <cell r="L8">
            <v>23</v>
          </cell>
        </row>
        <row r="9">
          <cell r="K9">
            <v>28</v>
          </cell>
          <cell r="L9">
            <v>23</v>
          </cell>
        </row>
        <row r="17">
          <cell r="K17">
            <v>25</v>
          </cell>
          <cell r="L17">
            <v>21</v>
          </cell>
        </row>
        <row r="18">
          <cell r="K18">
            <v>56</v>
          </cell>
          <cell r="L18">
            <v>44</v>
          </cell>
        </row>
        <row r="19">
          <cell r="K19">
            <v>61</v>
          </cell>
          <cell r="L19">
            <v>28</v>
          </cell>
        </row>
        <row r="20">
          <cell r="K20">
            <v>28</v>
          </cell>
          <cell r="L20">
            <v>24</v>
          </cell>
        </row>
        <row r="21">
          <cell r="K21">
            <v>24</v>
          </cell>
          <cell r="L21">
            <v>14</v>
          </cell>
        </row>
        <row r="22">
          <cell r="K22">
            <v>28</v>
          </cell>
          <cell r="L22">
            <v>23</v>
          </cell>
        </row>
        <row r="30">
          <cell r="K30">
            <v>25</v>
          </cell>
          <cell r="L30">
            <v>21</v>
          </cell>
        </row>
        <row r="31">
          <cell r="K31">
            <v>52</v>
          </cell>
          <cell r="L31">
            <v>46</v>
          </cell>
        </row>
        <row r="32">
          <cell r="K32">
            <v>44</v>
          </cell>
          <cell r="L32">
            <v>7</v>
          </cell>
        </row>
        <row r="33">
          <cell r="K33">
            <v>28</v>
          </cell>
          <cell r="L33">
            <v>23</v>
          </cell>
        </row>
        <row r="34">
          <cell r="K34">
            <v>28</v>
          </cell>
          <cell r="L34">
            <v>14</v>
          </cell>
        </row>
        <row r="35">
          <cell r="K35">
            <v>28</v>
          </cell>
          <cell r="L35">
            <v>23</v>
          </cell>
        </row>
        <row r="43">
          <cell r="K43">
            <v>27</v>
          </cell>
          <cell r="L43">
            <v>22</v>
          </cell>
        </row>
        <row r="44">
          <cell r="K44">
            <v>56</v>
          </cell>
          <cell r="L44">
            <v>46</v>
          </cell>
        </row>
        <row r="45">
          <cell r="K45">
            <v>54</v>
          </cell>
          <cell r="L45">
            <v>21</v>
          </cell>
        </row>
        <row r="46">
          <cell r="K46">
            <v>28</v>
          </cell>
          <cell r="L46">
            <v>24</v>
          </cell>
        </row>
        <row r="47">
          <cell r="K47">
            <v>24</v>
          </cell>
          <cell r="L47">
            <v>21</v>
          </cell>
        </row>
        <row r="48">
          <cell r="K48">
            <v>28</v>
          </cell>
          <cell r="L48">
            <v>23</v>
          </cell>
        </row>
      </sheetData>
      <sheetData sheetId="17">
        <row r="4">
          <cell r="K4">
            <v>25</v>
          </cell>
          <cell r="L4">
            <v>21</v>
          </cell>
        </row>
        <row r="5">
          <cell r="K5">
            <v>57</v>
          </cell>
          <cell r="L5">
            <v>46</v>
          </cell>
        </row>
        <row r="6">
          <cell r="K6">
            <v>61</v>
          </cell>
          <cell r="L6">
            <v>26</v>
          </cell>
        </row>
        <row r="7">
          <cell r="K7">
            <v>28</v>
          </cell>
          <cell r="L7">
            <v>24</v>
          </cell>
        </row>
        <row r="8">
          <cell r="K8">
            <v>34</v>
          </cell>
          <cell r="L8">
            <v>29</v>
          </cell>
        </row>
        <row r="9">
          <cell r="K9">
            <v>28</v>
          </cell>
          <cell r="L9">
            <v>23</v>
          </cell>
        </row>
        <row r="17">
          <cell r="K17">
            <v>25</v>
          </cell>
          <cell r="L17">
            <v>21</v>
          </cell>
        </row>
        <row r="18">
          <cell r="K18">
            <v>55</v>
          </cell>
          <cell r="L18">
            <v>46</v>
          </cell>
        </row>
        <row r="19">
          <cell r="K19">
            <v>60</v>
          </cell>
          <cell r="L19">
            <v>26</v>
          </cell>
        </row>
        <row r="20">
          <cell r="K20">
            <v>28</v>
          </cell>
          <cell r="L20">
            <v>24</v>
          </cell>
        </row>
        <row r="21">
          <cell r="K21">
            <v>36</v>
          </cell>
          <cell r="L21">
            <v>30</v>
          </cell>
        </row>
        <row r="22">
          <cell r="K22">
            <v>28</v>
          </cell>
          <cell r="L22">
            <v>23</v>
          </cell>
        </row>
        <row r="30">
          <cell r="K30">
            <v>25</v>
          </cell>
          <cell r="L30">
            <v>21</v>
          </cell>
        </row>
        <row r="31">
          <cell r="K31">
            <v>58</v>
          </cell>
          <cell r="L31">
            <v>46</v>
          </cell>
        </row>
        <row r="32">
          <cell r="K32">
            <v>61</v>
          </cell>
          <cell r="L32">
            <v>26</v>
          </cell>
        </row>
        <row r="33">
          <cell r="K33">
            <v>28</v>
          </cell>
          <cell r="L33">
            <v>16</v>
          </cell>
        </row>
        <row r="34">
          <cell r="K34">
            <v>36</v>
          </cell>
          <cell r="L34">
            <v>30</v>
          </cell>
        </row>
        <row r="35">
          <cell r="K35">
            <v>28</v>
          </cell>
          <cell r="L35">
            <v>23</v>
          </cell>
        </row>
        <row r="43">
          <cell r="K43">
            <v>25</v>
          </cell>
          <cell r="L43">
            <v>21</v>
          </cell>
        </row>
        <row r="44">
          <cell r="K44">
            <v>58</v>
          </cell>
          <cell r="L44">
            <v>46</v>
          </cell>
        </row>
        <row r="45">
          <cell r="K45">
            <v>61</v>
          </cell>
          <cell r="L45">
            <v>26</v>
          </cell>
        </row>
        <row r="46">
          <cell r="K46">
            <v>27</v>
          </cell>
          <cell r="L46">
            <v>23</v>
          </cell>
        </row>
        <row r="47">
          <cell r="K47">
            <v>36</v>
          </cell>
          <cell r="L47">
            <v>30</v>
          </cell>
        </row>
        <row r="48">
          <cell r="K48">
            <v>28</v>
          </cell>
          <cell r="L48">
            <v>23</v>
          </cell>
        </row>
      </sheetData>
      <sheetData sheetId="18">
        <row r="4">
          <cell r="B4">
            <v>2</v>
          </cell>
          <cell r="C4">
            <v>2</v>
          </cell>
          <cell r="D4">
            <v>3</v>
          </cell>
          <cell r="F4">
            <v>2</v>
          </cell>
        </row>
        <row r="5">
          <cell r="B5">
            <v>3</v>
          </cell>
          <cell r="C5">
            <v>3</v>
          </cell>
          <cell r="D5">
            <v>2</v>
          </cell>
          <cell r="E5">
            <v>3</v>
          </cell>
          <cell r="F5">
            <v>3</v>
          </cell>
          <cell r="G5">
            <v>3</v>
          </cell>
          <cell r="H5">
            <v>3</v>
          </cell>
        </row>
        <row r="6">
          <cell r="B6">
            <v>3</v>
          </cell>
          <cell r="C6">
            <v>3</v>
          </cell>
          <cell r="D6">
            <v>2</v>
          </cell>
          <cell r="F6">
            <v>3</v>
          </cell>
        </row>
        <row r="7">
          <cell r="B7">
            <v>2</v>
          </cell>
          <cell r="C7">
            <v>3</v>
          </cell>
          <cell r="D7">
            <v>3</v>
          </cell>
          <cell r="F7">
            <v>2</v>
          </cell>
        </row>
        <row r="8">
          <cell r="B8">
            <v>3</v>
          </cell>
          <cell r="C8">
            <v>3</v>
          </cell>
          <cell r="D8">
            <v>3</v>
          </cell>
          <cell r="F8">
            <v>3</v>
          </cell>
        </row>
        <row r="9">
          <cell r="B9">
            <v>1</v>
          </cell>
          <cell r="C9">
            <v>3</v>
          </cell>
          <cell r="D9">
            <v>3</v>
          </cell>
          <cell r="F9">
            <v>3</v>
          </cell>
        </row>
        <row r="17">
          <cell r="B17">
            <v>3</v>
          </cell>
          <cell r="C17">
            <v>3</v>
          </cell>
          <cell r="D17">
            <v>3</v>
          </cell>
          <cell r="F17">
            <v>1</v>
          </cell>
        </row>
        <row r="18">
          <cell r="B18">
            <v>3</v>
          </cell>
          <cell r="C18">
            <v>3</v>
          </cell>
          <cell r="D18">
            <v>3</v>
          </cell>
          <cell r="E18">
            <v>2</v>
          </cell>
          <cell r="F18">
            <v>3</v>
          </cell>
          <cell r="G18">
            <v>3</v>
          </cell>
          <cell r="H18">
            <v>2</v>
          </cell>
        </row>
        <row r="19">
          <cell r="B19">
            <v>3</v>
          </cell>
          <cell r="C19">
            <v>3</v>
          </cell>
          <cell r="D19">
            <v>3</v>
          </cell>
          <cell r="F19">
            <v>2</v>
          </cell>
        </row>
        <row r="20">
          <cell r="B20">
            <v>3</v>
          </cell>
          <cell r="C20">
            <v>3</v>
          </cell>
          <cell r="D20">
            <v>3</v>
          </cell>
          <cell r="F20">
            <v>3</v>
          </cell>
        </row>
        <row r="21">
          <cell r="B21">
            <v>3</v>
          </cell>
          <cell r="C21">
            <v>3</v>
          </cell>
          <cell r="D21">
            <v>3</v>
          </cell>
          <cell r="F21">
            <v>3</v>
          </cell>
        </row>
        <row r="22">
          <cell r="B22">
            <v>3</v>
          </cell>
          <cell r="C22">
            <v>3</v>
          </cell>
          <cell r="D22">
            <v>3</v>
          </cell>
          <cell r="F22">
            <v>3</v>
          </cell>
        </row>
        <row r="30">
          <cell r="B30">
            <v>1</v>
          </cell>
          <cell r="C30">
            <v>3</v>
          </cell>
          <cell r="D30">
            <v>3</v>
          </cell>
          <cell r="F30">
            <v>2</v>
          </cell>
        </row>
        <row r="31">
          <cell r="B31">
            <v>2</v>
          </cell>
          <cell r="C31">
            <v>2</v>
          </cell>
          <cell r="D31">
            <v>3</v>
          </cell>
          <cell r="E31">
            <v>2</v>
          </cell>
          <cell r="F31">
            <v>3</v>
          </cell>
          <cell r="G31">
            <v>3</v>
          </cell>
          <cell r="H31">
            <v>3</v>
          </cell>
        </row>
        <row r="32">
          <cell r="B32">
            <v>3</v>
          </cell>
          <cell r="C32">
            <v>3</v>
          </cell>
          <cell r="D32">
            <v>3</v>
          </cell>
          <cell r="F32">
            <v>3</v>
          </cell>
        </row>
        <row r="33">
          <cell r="B33">
            <v>2</v>
          </cell>
          <cell r="C33">
            <v>1</v>
          </cell>
          <cell r="D33">
            <v>2</v>
          </cell>
          <cell r="F33">
            <v>2</v>
          </cell>
        </row>
        <row r="34">
          <cell r="B34">
            <v>3</v>
          </cell>
          <cell r="C34">
            <v>3</v>
          </cell>
          <cell r="D34">
            <v>3</v>
          </cell>
          <cell r="F34">
            <v>3</v>
          </cell>
        </row>
        <row r="35">
          <cell r="B35">
            <v>3</v>
          </cell>
          <cell r="C35">
            <v>3</v>
          </cell>
          <cell r="D35">
            <v>3</v>
          </cell>
          <cell r="F35">
            <v>3</v>
          </cell>
        </row>
        <row r="43">
          <cell r="B43">
            <v>3</v>
          </cell>
          <cell r="C43">
            <v>3</v>
          </cell>
          <cell r="D43">
            <v>3</v>
          </cell>
          <cell r="F43">
            <v>3</v>
          </cell>
        </row>
        <row r="44">
          <cell r="B44">
            <v>2</v>
          </cell>
          <cell r="C44">
            <v>2</v>
          </cell>
          <cell r="D44">
            <v>2</v>
          </cell>
          <cell r="E44">
            <v>3</v>
          </cell>
          <cell r="F44">
            <v>3</v>
          </cell>
          <cell r="G44">
            <v>2</v>
          </cell>
          <cell r="H44">
            <v>1</v>
          </cell>
        </row>
        <row r="45">
          <cell r="B45">
            <v>3</v>
          </cell>
          <cell r="C45">
            <v>2</v>
          </cell>
          <cell r="D45">
            <v>1</v>
          </cell>
          <cell r="F45">
            <v>3</v>
          </cell>
        </row>
        <row r="46">
          <cell r="B46">
            <v>3</v>
          </cell>
          <cell r="C46">
            <v>3</v>
          </cell>
          <cell r="D46">
            <v>2</v>
          </cell>
          <cell r="F46">
            <v>2</v>
          </cell>
        </row>
        <row r="47">
          <cell r="B47">
            <v>3</v>
          </cell>
          <cell r="C47">
            <v>3</v>
          </cell>
          <cell r="D47">
            <v>3</v>
          </cell>
          <cell r="F47">
            <v>3</v>
          </cell>
        </row>
        <row r="48">
          <cell r="B48">
            <v>3</v>
          </cell>
          <cell r="C48">
            <v>3</v>
          </cell>
          <cell r="D48">
            <v>3</v>
          </cell>
          <cell r="F48">
            <v>3</v>
          </cell>
        </row>
      </sheetData>
      <sheetData sheetId="19">
        <row r="4">
          <cell r="B4">
            <v>3</v>
          </cell>
          <cell r="C4">
            <v>3</v>
          </cell>
          <cell r="D4">
            <v>3</v>
          </cell>
          <cell r="F4">
            <v>1</v>
          </cell>
        </row>
        <row r="5">
          <cell r="B5">
            <v>3</v>
          </cell>
          <cell r="C5">
            <v>3</v>
          </cell>
          <cell r="D5">
            <v>3</v>
          </cell>
          <cell r="E5">
            <v>2</v>
          </cell>
          <cell r="F5">
            <v>2</v>
          </cell>
          <cell r="G5">
            <v>3</v>
          </cell>
          <cell r="H5">
            <v>2</v>
          </cell>
        </row>
        <row r="6">
          <cell r="B6">
            <v>2</v>
          </cell>
          <cell r="C6">
            <v>3</v>
          </cell>
          <cell r="D6">
            <v>3</v>
          </cell>
          <cell r="F6">
            <v>2</v>
          </cell>
        </row>
        <row r="7">
          <cell r="B7">
            <v>1</v>
          </cell>
          <cell r="C7">
            <v>2</v>
          </cell>
          <cell r="D7">
            <v>2</v>
          </cell>
          <cell r="F7">
            <v>2</v>
          </cell>
        </row>
        <row r="8">
          <cell r="B8">
            <v>3</v>
          </cell>
          <cell r="C8">
            <v>3</v>
          </cell>
          <cell r="D8">
            <v>3</v>
          </cell>
          <cell r="F8">
            <v>3</v>
          </cell>
        </row>
        <row r="9">
          <cell r="B9">
            <v>3</v>
          </cell>
          <cell r="C9">
            <v>3</v>
          </cell>
          <cell r="D9">
            <v>3</v>
          </cell>
          <cell r="F9">
            <v>3</v>
          </cell>
        </row>
        <row r="17">
          <cell r="B17">
            <v>3</v>
          </cell>
          <cell r="C17">
            <v>3</v>
          </cell>
          <cell r="D17">
            <v>3</v>
          </cell>
          <cell r="F17">
            <v>2</v>
          </cell>
        </row>
        <row r="18">
          <cell r="B18">
            <v>3</v>
          </cell>
          <cell r="C18">
            <v>3</v>
          </cell>
          <cell r="D18">
            <v>3</v>
          </cell>
          <cell r="E18">
            <v>3</v>
          </cell>
          <cell r="F18">
            <v>3</v>
          </cell>
          <cell r="G18">
            <v>3</v>
          </cell>
          <cell r="H18">
            <v>3</v>
          </cell>
        </row>
        <row r="19">
          <cell r="B19">
            <v>3</v>
          </cell>
          <cell r="C19">
            <v>3</v>
          </cell>
          <cell r="D19">
            <v>3</v>
          </cell>
          <cell r="F19">
            <v>3</v>
          </cell>
        </row>
        <row r="20">
          <cell r="B20">
            <v>3</v>
          </cell>
          <cell r="C20">
            <v>3</v>
          </cell>
          <cell r="D20">
            <v>3</v>
          </cell>
          <cell r="F20">
            <v>3</v>
          </cell>
        </row>
        <row r="21">
          <cell r="B21">
            <v>3</v>
          </cell>
          <cell r="C21">
            <v>3</v>
          </cell>
          <cell r="D21">
            <v>3</v>
          </cell>
          <cell r="F21">
            <v>3</v>
          </cell>
        </row>
        <row r="22">
          <cell r="B22">
            <v>3</v>
          </cell>
          <cell r="C22">
            <v>3</v>
          </cell>
          <cell r="D22">
            <v>3</v>
          </cell>
          <cell r="F22">
            <v>3</v>
          </cell>
        </row>
        <row r="30">
          <cell r="B30">
            <v>3</v>
          </cell>
          <cell r="C30">
            <v>3</v>
          </cell>
          <cell r="D30">
            <v>3</v>
          </cell>
          <cell r="F30">
            <v>2</v>
          </cell>
        </row>
        <row r="31">
          <cell r="B31">
            <v>3</v>
          </cell>
          <cell r="C31">
            <v>3</v>
          </cell>
          <cell r="D31">
            <v>3</v>
          </cell>
          <cell r="E31">
            <v>3</v>
          </cell>
          <cell r="F31">
            <v>3</v>
          </cell>
          <cell r="G31">
            <v>3</v>
          </cell>
          <cell r="H31">
            <v>3</v>
          </cell>
        </row>
        <row r="32">
          <cell r="B32">
            <v>3</v>
          </cell>
          <cell r="C32">
            <v>2</v>
          </cell>
          <cell r="D32">
            <v>2</v>
          </cell>
          <cell r="F32">
            <v>3</v>
          </cell>
        </row>
        <row r="33">
          <cell r="B33">
            <v>1</v>
          </cell>
          <cell r="C33">
            <v>1</v>
          </cell>
          <cell r="D33">
            <v>1</v>
          </cell>
          <cell r="F33">
            <v>2</v>
          </cell>
        </row>
        <row r="34">
          <cell r="B34">
            <v>3</v>
          </cell>
          <cell r="C34">
            <v>3</v>
          </cell>
          <cell r="D34">
            <v>3</v>
          </cell>
          <cell r="F34">
            <v>3</v>
          </cell>
        </row>
        <row r="35">
          <cell r="B35">
            <v>3</v>
          </cell>
          <cell r="C35">
            <v>3</v>
          </cell>
          <cell r="D35">
            <v>3</v>
          </cell>
          <cell r="F35">
            <v>3</v>
          </cell>
        </row>
        <row r="43">
          <cell r="B43">
            <v>3</v>
          </cell>
          <cell r="C43">
            <v>3</v>
          </cell>
          <cell r="D43">
            <v>3</v>
          </cell>
          <cell r="F43">
            <v>3</v>
          </cell>
        </row>
        <row r="44">
          <cell r="B44">
            <v>3</v>
          </cell>
          <cell r="C44">
            <v>3</v>
          </cell>
          <cell r="D44">
            <v>3</v>
          </cell>
          <cell r="E44">
            <v>3</v>
          </cell>
          <cell r="F44">
            <v>3</v>
          </cell>
          <cell r="G44">
            <v>2</v>
          </cell>
          <cell r="H44">
            <v>3</v>
          </cell>
        </row>
        <row r="45">
          <cell r="B45">
            <v>3</v>
          </cell>
          <cell r="C45">
            <v>3</v>
          </cell>
          <cell r="D45">
            <v>2</v>
          </cell>
          <cell r="F45">
            <v>3</v>
          </cell>
        </row>
        <row r="46">
          <cell r="B46">
            <v>3</v>
          </cell>
          <cell r="C46">
            <v>3</v>
          </cell>
          <cell r="D46">
            <v>3</v>
          </cell>
          <cell r="F46">
            <v>3</v>
          </cell>
        </row>
        <row r="47">
          <cell r="B47">
            <v>3</v>
          </cell>
          <cell r="C47">
            <v>3</v>
          </cell>
          <cell r="D47">
            <v>3</v>
          </cell>
          <cell r="F47">
            <v>3</v>
          </cell>
        </row>
        <row r="48">
          <cell r="B48">
            <v>3</v>
          </cell>
          <cell r="C48">
            <v>3</v>
          </cell>
          <cell r="D48">
            <v>3</v>
          </cell>
          <cell r="F48">
            <v>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stbenutzer" id="{B9829F0C-CAEB-415D-8C9E-BE4620C15F4D}" userId="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7-24T11:39:49.01" personId="{B9829F0C-CAEB-415D-8C9E-BE4620C15F4D}" id="{EFB6AEAF-0249-4B86-AB73-9A3BBBCA5A90}">
    <text>Es gibt eine Beziehung und diese ist richtig dargestellt. Ergebnismenge verlangt aber keine</text>
  </threadedComment>
  <threadedComment ref="B19" dT="2026-07-25T08:38:58.68" personId="{B9829F0C-CAEB-415D-8C9E-BE4620C15F4D}" id="{8DE8F51D-C348-4C46-A9E3-069C9B7BDEE0}">
    <text>Sehr gutes Modell, auch mit Erweiterungen, die sehr sinnvoll wären</text>
  </threadedComment>
  <threadedComment ref="B30" dT="2026-07-25T06:36:18.01" personId="{B9829F0C-CAEB-415D-8C9E-BE4620C15F4D}" id="{CD9E9C24-F1B5-447E-9CE7-597C21DE0851}">
    <text>Es wurde unter anderem Worker/Individual modelliert. Hinweis darauf, dass sich SLM schwer tut Grenzen, was modelliert werden muss , zu ziehen.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6-07-24T14:13:57.48" personId="{B9829F0C-CAEB-415D-8C9E-BE4620C15F4D}" id="{D141B81C-1570-4F3D-9A2F-CED5B57568DF}">
    <text>Aufgrund der schlechten AND-Relationsships ist das Modell schwer zu durchdringen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1DB744-32E8-4278-9ACA-D5CEE02BCF43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22D4-7F03-4EB0-95AF-48DE239A4A74}">
  <dimension ref="A1:AV30"/>
  <sheetViews>
    <sheetView tabSelected="1" zoomScale="98" zoomScaleNormal="130" workbookViewId="0">
      <selection activeCell="Z14" sqref="Z14"/>
    </sheetView>
  </sheetViews>
  <sheetFormatPr baseColWidth="10" defaultRowHeight="14.5"/>
  <cols>
    <col min="2" max="2" width="13.7265625" bestFit="1" customWidth="1"/>
    <col min="3" max="3" width="14.26953125" bestFit="1" customWidth="1"/>
    <col min="4" max="4" width="13.7265625" bestFit="1" customWidth="1"/>
    <col min="5" max="5" width="14.26953125" bestFit="1" customWidth="1"/>
    <col min="6" max="6" width="13.7265625" bestFit="1" customWidth="1"/>
    <col min="7" max="7" width="14.26953125" bestFit="1" customWidth="1"/>
    <col min="8" max="8" width="13.7265625" bestFit="1" customWidth="1"/>
    <col min="9" max="9" width="14.26953125" bestFit="1" customWidth="1"/>
    <col min="10" max="10" width="12.54296875" customWidth="1"/>
    <col min="14" max="14" width="19.36328125" customWidth="1"/>
  </cols>
  <sheetData>
    <row r="1" spans="1:48">
      <c r="A1" s="9" t="s">
        <v>32</v>
      </c>
      <c r="N1" s="9" t="s">
        <v>33</v>
      </c>
      <c r="Z1" s="9"/>
    </row>
    <row r="3" spans="1:48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N3" s="9" t="s">
        <v>59</v>
      </c>
      <c r="Z3" s="9" t="s">
        <v>61</v>
      </c>
      <c r="AL3" s="9" t="s">
        <v>45</v>
      </c>
    </row>
    <row r="4" spans="1:48">
      <c r="A4" t="s">
        <v>8</v>
      </c>
      <c r="B4">
        <v>2</v>
      </c>
      <c r="C4">
        <v>1</v>
      </c>
      <c r="D4">
        <v>3</v>
      </c>
      <c r="E4">
        <v>2</v>
      </c>
      <c r="F4">
        <v>8</v>
      </c>
      <c r="G4">
        <v>7</v>
      </c>
      <c r="H4">
        <v>12</v>
      </c>
      <c r="I4">
        <v>11</v>
      </c>
      <c r="J4">
        <f>B4+D4+F4+H4</f>
        <v>25</v>
      </c>
      <c r="K4">
        <f>C4+E4+G4+I4</f>
        <v>21</v>
      </c>
      <c r="O4" t="s">
        <v>34</v>
      </c>
      <c r="P4" t="s">
        <v>1</v>
      </c>
      <c r="Q4" t="s">
        <v>2</v>
      </c>
      <c r="R4" t="s">
        <v>3</v>
      </c>
      <c r="S4" t="s">
        <v>4</v>
      </c>
      <c r="T4" t="s">
        <v>5</v>
      </c>
      <c r="U4" t="s">
        <v>6</v>
      </c>
      <c r="V4" t="s">
        <v>7</v>
      </c>
      <c r="W4" t="s">
        <v>46</v>
      </c>
      <c r="AA4" t="s">
        <v>34</v>
      </c>
      <c r="AB4" t="s">
        <v>1</v>
      </c>
      <c r="AC4" t="s">
        <v>2</v>
      </c>
      <c r="AD4" t="s">
        <v>3</v>
      </c>
      <c r="AE4" t="s">
        <v>4</v>
      </c>
      <c r="AF4" t="s">
        <v>5</v>
      </c>
      <c r="AG4" t="s">
        <v>6</v>
      </c>
      <c r="AH4" t="s">
        <v>7</v>
      </c>
      <c r="AI4" t="s">
        <v>47</v>
      </c>
      <c r="AM4" t="s">
        <v>34</v>
      </c>
      <c r="AN4" t="s">
        <v>1</v>
      </c>
      <c r="AO4" t="s">
        <v>2</v>
      </c>
      <c r="AP4" t="s">
        <v>3</v>
      </c>
      <c r="AQ4" t="s">
        <v>4</v>
      </c>
      <c r="AR4" t="s">
        <v>5</v>
      </c>
      <c r="AS4" t="s">
        <v>6</v>
      </c>
      <c r="AT4" t="s">
        <v>7</v>
      </c>
      <c r="AU4" t="s">
        <v>19</v>
      </c>
    </row>
    <row r="5" spans="1:48">
      <c r="A5" t="s">
        <v>9</v>
      </c>
      <c r="B5">
        <v>6</v>
      </c>
      <c r="C5">
        <v>4</v>
      </c>
      <c r="D5">
        <v>8</v>
      </c>
      <c r="E5">
        <v>6</v>
      </c>
      <c r="F5">
        <v>15</v>
      </c>
      <c r="G5">
        <v>12</v>
      </c>
      <c r="H5">
        <v>29</v>
      </c>
      <c r="I5">
        <v>24</v>
      </c>
      <c r="J5">
        <f t="shared" ref="J5:K9" si="0">B5+D5+F5+H5</f>
        <v>58</v>
      </c>
      <c r="K5">
        <f t="shared" si="0"/>
        <v>46</v>
      </c>
      <c r="O5" t="s">
        <v>8</v>
      </c>
      <c r="P5" s="10">
        <f>Importability_Qwen!B4/3</f>
        <v>1</v>
      </c>
      <c r="Q5" s="10">
        <f>Importability_Qwen!C4/3</f>
        <v>1</v>
      </c>
      <c r="R5" s="10">
        <f>Importability_Qwen!D4/3</f>
        <v>1</v>
      </c>
      <c r="S5" s="10"/>
      <c r="T5" s="10">
        <f>Importability_Qwen!F4/3</f>
        <v>0.33333333333333331</v>
      </c>
      <c r="U5" s="10"/>
      <c r="V5" s="10"/>
      <c r="W5" s="10">
        <f>Importability_Qwen!J4</f>
        <v>0.83333333333333337</v>
      </c>
      <c r="X5" s="10"/>
      <c r="AA5" t="s">
        <v>8</v>
      </c>
      <c r="AB5" s="10">
        <f>Importability_Qwen!B30/3</f>
        <v>1</v>
      </c>
      <c r="AC5" s="10">
        <f>Importability_Qwen!C30/3</f>
        <v>1</v>
      </c>
      <c r="AD5" s="10">
        <f>Importability_Qwen!D30/3</f>
        <v>0.33333333333333331</v>
      </c>
      <c r="AE5" s="10"/>
      <c r="AF5" s="10">
        <f>Importability_Qwen!F30/3</f>
        <v>0</v>
      </c>
      <c r="AG5" s="10"/>
      <c r="AH5" s="10"/>
      <c r="AI5" s="10">
        <f>Importability_Qwen!J30</f>
        <v>0.58333333333333337</v>
      </c>
      <c r="AJ5" s="10"/>
      <c r="AM5" t="s">
        <v>8</v>
      </c>
      <c r="AN5" s="10">
        <f>(Importability_Qwen!B4+Importability_Qwen!B30)/6</f>
        <v>1</v>
      </c>
      <c r="AO5" s="10">
        <f>(Importability_Qwen!C4+Importability_Qwen!C30)/6</f>
        <v>1</v>
      </c>
      <c r="AP5" s="10">
        <f>(Importability_Qwen!D4+Importability_Qwen!D30)/6</f>
        <v>0.66666666666666663</v>
      </c>
      <c r="AQ5" s="10"/>
      <c r="AR5" s="10">
        <f>(Importability_Qwen!F4+Importability_Qwen!F30)/6</f>
        <v>0.16666666666666666</v>
      </c>
      <c r="AS5" s="10"/>
      <c r="AT5" s="10"/>
      <c r="AU5" s="10">
        <f>(SUM(Importability_Qwen!B4:H4)+SUM(Importability_Qwen!B30:H30))/24</f>
        <v>0.70833333333333337</v>
      </c>
    </row>
    <row r="6" spans="1:48">
      <c r="A6" t="s">
        <v>10</v>
      </c>
      <c r="B6">
        <v>6</v>
      </c>
      <c r="C6">
        <v>0</v>
      </c>
      <c r="D6">
        <v>9</v>
      </c>
      <c r="E6">
        <v>3</v>
      </c>
      <c r="F6">
        <v>17</v>
      </c>
      <c r="G6">
        <v>7</v>
      </c>
      <c r="H6">
        <v>29</v>
      </c>
      <c r="I6">
        <v>16</v>
      </c>
      <c r="J6">
        <f t="shared" si="0"/>
        <v>61</v>
      </c>
      <c r="K6">
        <f t="shared" si="0"/>
        <v>26</v>
      </c>
      <c r="O6" t="s">
        <v>9</v>
      </c>
      <c r="P6" s="10">
        <f>Importability_Qwen!B5/3</f>
        <v>1</v>
      </c>
      <c r="Q6" s="10">
        <f>Importability_Qwen!C5/3</f>
        <v>1</v>
      </c>
      <c r="R6" s="10">
        <f>Importability_Qwen!D5/3</f>
        <v>1</v>
      </c>
      <c r="S6" s="10">
        <f>Importability_Qwen!E5/3</f>
        <v>1</v>
      </c>
      <c r="T6" s="10">
        <f>Importability_Qwen!F5/3</f>
        <v>1</v>
      </c>
      <c r="U6" s="10">
        <f>Importability_Qwen!G5/3</f>
        <v>1</v>
      </c>
      <c r="V6" s="10">
        <f>Importability_Qwen!H5/3</f>
        <v>1</v>
      </c>
      <c r="W6" s="10">
        <f>Importability_Qwen!J5</f>
        <v>1</v>
      </c>
      <c r="X6" s="10"/>
      <c r="AA6" t="s">
        <v>9</v>
      </c>
      <c r="AB6" s="10">
        <f>Importability_Qwen!B31/3</f>
        <v>0.33333333333333331</v>
      </c>
      <c r="AC6" s="10">
        <f>Importability_Qwen!C31/3</f>
        <v>0.33333333333333331</v>
      </c>
      <c r="AD6" s="10">
        <f>Importability_Qwen!D31/3</f>
        <v>0.66666666666666663</v>
      </c>
      <c r="AE6" s="10">
        <f>Importability_Qwen!E31/3</f>
        <v>1</v>
      </c>
      <c r="AF6" s="10">
        <f>Importability_Qwen!F31/3</f>
        <v>0.66666666666666663</v>
      </c>
      <c r="AG6" s="10">
        <f>Importability_Qwen!G31/3</f>
        <v>1</v>
      </c>
      <c r="AH6" s="10">
        <f>Importability_Qwen!H31/3</f>
        <v>1</v>
      </c>
      <c r="AI6" s="10">
        <f>Importability_Qwen!J31</f>
        <v>0.7142857142857143</v>
      </c>
      <c r="AJ6" s="10"/>
      <c r="AM6" t="s">
        <v>9</v>
      </c>
      <c r="AN6" s="10">
        <f>(Importability_Qwen!B5+Importability_Qwen!B31)/6</f>
        <v>0.66666666666666663</v>
      </c>
      <c r="AO6" s="10">
        <f>(Importability_Qwen!C5+Importability_Qwen!C31)/6</f>
        <v>0.66666666666666663</v>
      </c>
      <c r="AP6" s="10">
        <f>(Importability_Qwen!D5+Importability_Qwen!D31)/6</f>
        <v>0.83333333333333337</v>
      </c>
      <c r="AQ6" s="10">
        <f>(Importability_Qwen!E5+Importability_Qwen!E31)/6</f>
        <v>1</v>
      </c>
      <c r="AR6" s="10">
        <f>(Importability_Qwen!F5+Importability_Qwen!F31)/6</f>
        <v>0.83333333333333337</v>
      </c>
      <c r="AS6" s="10">
        <f>(Importability_Qwen!G5+Importability_Qwen!G31)/6</f>
        <v>1</v>
      </c>
      <c r="AT6" s="10">
        <f>(Importability_Qwen!H5+Importability_Qwen!H31)/6</f>
        <v>1</v>
      </c>
      <c r="AU6" s="10">
        <f>(SUM(Importability_Qwen!B5:H5)+SUM(Importability_Qwen!B31:H31))/42</f>
        <v>0.8571428571428571</v>
      </c>
      <c r="AV6">
        <v>42</v>
      </c>
    </row>
    <row r="7" spans="1:48">
      <c r="A7" t="s">
        <v>11</v>
      </c>
      <c r="B7">
        <v>2</v>
      </c>
      <c r="C7">
        <v>1</v>
      </c>
      <c r="D7">
        <v>4</v>
      </c>
      <c r="E7">
        <v>3</v>
      </c>
      <c r="F7">
        <v>9</v>
      </c>
      <c r="G7">
        <v>8</v>
      </c>
      <c r="H7">
        <v>13</v>
      </c>
      <c r="I7">
        <v>12</v>
      </c>
      <c r="J7">
        <f t="shared" si="0"/>
        <v>28</v>
      </c>
      <c r="K7">
        <f t="shared" si="0"/>
        <v>24</v>
      </c>
      <c r="O7" t="s">
        <v>10</v>
      </c>
      <c r="P7" s="10">
        <f>Importability_Qwen!B6/3</f>
        <v>1</v>
      </c>
      <c r="Q7" s="10">
        <f>Importability_Qwen!C6/3</f>
        <v>1</v>
      </c>
      <c r="R7" s="10">
        <f>Importability_Qwen!D6/3</f>
        <v>1</v>
      </c>
      <c r="S7" s="10"/>
      <c r="T7" s="10">
        <f>Importability_Qwen!F6/3</f>
        <v>0.66666666666666663</v>
      </c>
      <c r="U7" s="10"/>
      <c r="V7" s="10"/>
      <c r="W7" s="10">
        <f>Importability_Qwen!J6</f>
        <v>0.91666666666666663</v>
      </c>
      <c r="X7" s="10"/>
      <c r="AA7" t="s">
        <v>10</v>
      </c>
      <c r="AB7" s="10">
        <f>Importability_Qwen!B32/3</f>
        <v>1</v>
      </c>
      <c r="AC7" s="10">
        <f>Importability_Qwen!C32/3</f>
        <v>1</v>
      </c>
      <c r="AD7" s="10">
        <f>Importability_Qwen!D32/3</f>
        <v>1</v>
      </c>
      <c r="AE7" s="10"/>
      <c r="AF7" s="10">
        <f>Importability_Qwen!F32/3</f>
        <v>1</v>
      </c>
      <c r="AG7" s="10"/>
      <c r="AH7" s="10"/>
      <c r="AI7" s="10">
        <f>Importability_Qwen!J32</f>
        <v>1</v>
      </c>
      <c r="AJ7" s="10"/>
      <c r="AM7" t="s">
        <v>10</v>
      </c>
      <c r="AN7" s="10">
        <f>(Importability_Qwen!B6+Importability_Qwen!B32)/6</f>
        <v>1</v>
      </c>
      <c r="AO7" s="10">
        <f>(Importability_Qwen!C6+Importability_Qwen!C32)/6</f>
        <v>1</v>
      </c>
      <c r="AP7" s="10">
        <f>(Importability_Qwen!D6+Importability_Qwen!D32)/6</f>
        <v>1</v>
      </c>
      <c r="AQ7" s="10"/>
      <c r="AR7" s="10">
        <f>(Importability_Qwen!F6+Importability_Qwen!F32)/6</f>
        <v>0.83333333333333337</v>
      </c>
      <c r="AS7" s="10"/>
      <c r="AT7" s="10"/>
      <c r="AU7" s="10">
        <f>(SUM(Importability_Qwen!B6:H6)+SUM(Importability_Qwen!B32:H32))/24</f>
        <v>0.95833333333333337</v>
      </c>
    </row>
    <row r="8" spans="1:48">
      <c r="A8" t="s">
        <v>12</v>
      </c>
      <c r="B8">
        <v>4</v>
      </c>
      <c r="C8">
        <v>3</v>
      </c>
      <c r="D8">
        <v>7</v>
      </c>
      <c r="E8">
        <v>6</v>
      </c>
      <c r="F8">
        <v>11</v>
      </c>
      <c r="G8">
        <v>9</v>
      </c>
      <c r="H8">
        <v>14</v>
      </c>
      <c r="I8">
        <v>12</v>
      </c>
      <c r="J8">
        <f t="shared" si="0"/>
        <v>36</v>
      </c>
      <c r="K8">
        <f t="shared" si="0"/>
        <v>30</v>
      </c>
      <c r="O8" t="s">
        <v>11</v>
      </c>
      <c r="P8" s="10">
        <f>Importability_Qwen!B7/3</f>
        <v>0.66666666666666663</v>
      </c>
      <c r="Q8" s="10">
        <f>Importability_Qwen!C7/3</f>
        <v>0.66666666666666663</v>
      </c>
      <c r="R8" s="10">
        <f>Importability_Qwen!D7/3</f>
        <v>0.66666666666666663</v>
      </c>
      <c r="S8" s="10"/>
      <c r="T8" s="10">
        <f>Importability_Qwen!F7/3</f>
        <v>1</v>
      </c>
      <c r="U8" s="10"/>
      <c r="V8" s="10"/>
      <c r="W8" s="10">
        <f>Importability_Qwen!J7</f>
        <v>0.75</v>
      </c>
      <c r="X8" s="10"/>
      <c r="AA8" t="s">
        <v>11</v>
      </c>
      <c r="AB8" s="10">
        <f>Importability_Qwen!B33/3</f>
        <v>1</v>
      </c>
      <c r="AC8" s="10">
        <f>Importability_Qwen!C33/3</f>
        <v>0.33333333333333331</v>
      </c>
      <c r="AD8" s="10">
        <f>Importability_Qwen!D33/3</f>
        <v>1</v>
      </c>
      <c r="AE8" s="10"/>
      <c r="AF8" s="10">
        <f>Importability_Qwen!F33/3</f>
        <v>0</v>
      </c>
      <c r="AG8" s="10"/>
      <c r="AH8" s="10"/>
      <c r="AI8" s="10">
        <f>Importability_Qwen!J33</f>
        <v>0.58333333333333337</v>
      </c>
      <c r="AJ8" s="10"/>
      <c r="AM8" t="s">
        <v>11</v>
      </c>
      <c r="AN8" s="10">
        <f>(Importability_Qwen!B7+Importability_Qwen!B33)/6</f>
        <v>0.83333333333333337</v>
      </c>
      <c r="AO8" s="10">
        <f>(Importability_Qwen!C7+Importability_Qwen!C33)/6</f>
        <v>0.5</v>
      </c>
      <c r="AP8" s="10">
        <f>(Importability_Qwen!D7+Importability_Qwen!D33)/6</f>
        <v>0.83333333333333337</v>
      </c>
      <c r="AQ8" s="10"/>
      <c r="AR8" s="10">
        <f>(Importability_Qwen!F7+Importability_Qwen!F33)/6</f>
        <v>0.5</v>
      </c>
      <c r="AS8" s="10"/>
      <c r="AT8" s="10"/>
      <c r="AU8" s="10">
        <f>(SUM(Importability_Qwen!B7:H7)+SUM(Importability_Qwen!B33:H33))/24</f>
        <v>0.66666666666666663</v>
      </c>
    </row>
    <row r="9" spans="1:48">
      <c r="A9" t="s">
        <v>13</v>
      </c>
      <c r="B9">
        <v>2</v>
      </c>
      <c r="C9">
        <v>1</v>
      </c>
      <c r="D9">
        <v>5</v>
      </c>
      <c r="E9">
        <v>4</v>
      </c>
      <c r="F9">
        <v>9</v>
      </c>
      <c r="G9">
        <v>8</v>
      </c>
      <c r="H9">
        <v>12</v>
      </c>
      <c r="I9">
        <v>10</v>
      </c>
      <c r="J9">
        <f t="shared" si="0"/>
        <v>28</v>
      </c>
      <c r="K9">
        <f t="shared" si="0"/>
        <v>23</v>
      </c>
      <c r="O9" t="s">
        <v>12</v>
      </c>
      <c r="P9" s="10">
        <f>Importability_Qwen!B8/3</f>
        <v>1</v>
      </c>
      <c r="Q9" s="10">
        <f>Importability_Qwen!C8/3</f>
        <v>1</v>
      </c>
      <c r="R9" s="10">
        <f>Importability_Qwen!D8/3</f>
        <v>1</v>
      </c>
      <c r="S9" s="10"/>
      <c r="T9" s="10">
        <f>Importability_Qwen!F8/3</f>
        <v>1</v>
      </c>
      <c r="U9" s="10"/>
      <c r="V9" s="10"/>
      <c r="W9" s="10">
        <f>Importability_Qwen!J8</f>
        <v>1</v>
      </c>
      <c r="X9" s="10"/>
      <c r="AA9" t="s">
        <v>12</v>
      </c>
      <c r="AB9" s="10">
        <f>Importability_Qwen!B34/3</f>
        <v>1</v>
      </c>
      <c r="AC9" s="10">
        <f>Importability_Qwen!C34/3</f>
        <v>1</v>
      </c>
      <c r="AD9" s="10">
        <f>Importability_Qwen!D34/3</f>
        <v>1</v>
      </c>
      <c r="AE9" s="10"/>
      <c r="AF9" s="10">
        <f>Importability_Qwen!F34/3</f>
        <v>1</v>
      </c>
      <c r="AG9" s="10"/>
      <c r="AH9" s="10"/>
      <c r="AI9" s="10">
        <f>Importability_Qwen!J34</f>
        <v>1</v>
      </c>
      <c r="AJ9" s="10"/>
      <c r="AM9" t="s">
        <v>12</v>
      </c>
      <c r="AN9" s="10">
        <f>(Importability_Qwen!B8+Importability_Qwen!B34)/6</f>
        <v>1</v>
      </c>
      <c r="AO9" s="10">
        <f>(Importability_Qwen!C8+Importability_Qwen!C34)/6</f>
        <v>1</v>
      </c>
      <c r="AP9" s="10">
        <f>(Importability_Qwen!D8+Importability_Qwen!D34)/6</f>
        <v>1</v>
      </c>
      <c r="AQ9" s="10"/>
      <c r="AR9" s="10">
        <f>(Importability_Qwen!F8+Importability_Qwen!F34)/6</f>
        <v>1</v>
      </c>
      <c r="AS9" s="10"/>
      <c r="AT9" s="10"/>
      <c r="AU9" s="10">
        <f>(SUM(Importability_Qwen!B8:H8)+SUM(Importability_Qwen!B34:H34))/24</f>
        <v>1</v>
      </c>
    </row>
    <row r="10" spans="1:48">
      <c r="A10" t="s">
        <v>48</v>
      </c>
      <c r="B10">
        <f>SUM(B4:B9)</f>
        <v>22</v>
      </c>
      <c r="C10">
        <f t="shared" ref="C10:K10" si="1">SUM(C4:C9)</f>
        <v>10</v>
      </c>
      <c r="D10">
        <f t="shared" si="1"/>
        <v>36</v>
      </c>
      <c r="E10">
        <f t="shared" si="1"/>
        <v>24</v>
      </c>
      <c r="F10">
        <f t="shared" si="1"/>
        <v>69</v>
      </c>
      <c r="G10">
        <f t="shared" si="1"/>
        <v>51</v>
      </c>
      <c r="H10">
        <f t="shared" si="1"/>
        <v>109</v>
      </c>
      <c r="I10">
        <f t="shared" si="1"/>
        <v>85</v>
      </c>
      <c r="J10">
        <f t="shared" si="1"/>
        <v>236</v>
      </c>
      <c r="K10">
        <f t="shared" si="1"/>
        <v>170</v>
      </c>
      <c r="O10" t="s">
        <v>13</v>
      </c>
      <c r="P10" s="10">
        <f>Importability_Qwen!B9/3</f>
        <v>1</v>
      </c>
      <c r="Q10" s="10">
        <f>Importability_Qwen!C9/3</f>
        <v>1</v>
      </c>
      <c r="R10" s="10">
        <f>Importability_Qwen!D9/3</f>
        <v>1</v>
      </c>
      <c r="S10" s="10"/>
      <c r="T10" s="10">
        <f>Importability_Qwen!F9/3</f>
        <v>0.66666666666666663</v>
      </c>
      <c r="U10" s="10"/>
      <c r="V10" s="10"/>
      <c r="W10" s="10">
        <f>Importability_Qwen!J9</f>
        <v>0.91666666666666663</v>
      </c>
      <c r="X10" s="10"/>
      <c r="AA10" t="s">
        <v>13</v>
      </c>
      <c r="AB10" s="10">
        <f>Importability_Qwen!B35/3</f>
        <v>1</v>
      </c>
      <c r="AC10" s="10">
        <f>Importability_Qwen!C35/3</f>
        <v>1</v>
      </c>
      <c r="AD10" s="10">
        <f>Importability_Qwen!D35/3</f>
        <v>1</v>
      </c>
      <c r="AE10" s="10"/>
      <c r="AF10" s="10">
        <f>Importability_Qwen!F35/3</f>
        <v>1</v>
      </c>
      <c r="AG10" s="10"/>
      <c r="AH10" s="10"/>
      <c r="AI10" s="10">
        <f>Importability_Qwen!J35</f>
        <v>1</v>
      </c>
      <c r="AJ10" s="10"/>
      <c r="AM10" t="s">
        <v>13</v>
      </c>
      <c r="AN10" s="10">
        <f>(Importability_Qwen!B9+Importability_Qwen!B35)/6</f>
        <v>1</v>
      </c>
      <c r="AO10" s="10">
        <f>(Importability_Qwen!C9+Importability_Qwen!C35)/6</f>
        <v>1</v>
      </c>
      <c r="AP10" s="10">
        <f>(Importability_Qwen!D9+Importability_Qwen!D35)/6</f>
        <v>1</v>
      </c>
      <c r="AQ10" s="10"/>
      <c r="AR10" s="10">
        <f>(Importability_Qwen!F9+Importability_Qwen!F35)/6</f>
        <v>0.83333333333333337</v>
      </c>
      <c r="AS10" s="10"/>
      <c r="AT10" s="10"/>
      <c r="AU10" s="10">
        <f>(SUM(Importability_Qwen!B9:H9)+SUM(Importability_Qwen!B35:H35))/24</f>
        <v>0.95833333333333337</v>
      </c>
    </row>
    <row r="11" spans="1:48">
      <c r="A11" t="s">
        <v>49</v>
      </c>
      <c r="C11">
        <v>9</v>
      </c>
      <c r="E11">
        <v>12</v>
      </c>
      <c r="G11">
        <v>17</v>
      </c>
      <c r="I11">
        <v>20</v>
      </c>
      <c r="O11" t="s">
        <v>19</v>
      </c>
      <c r="P11" s="10">
        <f>Importability_Qwen!B11</f>
        <v>0.94444444444444442</v>
      </c>
      <c r="Q11" s="10">
        <f>Importability_Qwen!C11</f>
        <v>0.94444444444444442</v>
      </c>
      <c r="R11" s="10">
        <f>Importability_Qwen!D11</f>
        <v>0.94444444444444442</v>
      </c>
      <c r="S11" s="10">
        <f>Importability_Qwen!E11</f>
        <v>1</v>
      </c>
      <c r="T11" s="10">
        <f>Importability_Qwen!F11</f>
        <v>0.77777777777777779</v>
      </c>
      <c r="U11" s="10">
        <f>Importability_Qwen!G11</f>
        <v>1</v>
      </c>
      <c r="V11" s="10">
        <f>Importability_Qwen!H11</f>
        <v>1</v>
      </c>
      <c r="W11" s="11">
        <f>SUM(Importability_Qwen!B4:H9)/81</f>
        <v>0.9135802469135802</v>
      </c>
      <c r="AA11" t="s">
        <v>19</v>
      </c>
      <c r="AB11" s="10">
        <f>Importability_Qwen!B37</f>
        <v>0.88888888888888884</v>
      </c>
      <c r="AC11" s="10">
        <f>Importability_Qwen!C37</f>
        <v>0.77777777777777779</v>
      </c>
      <c r="AD11" s="10">
        <f>Importability_Qwen!D37</f>
        <v>0.83333333333333337</v>
      </c>
      <c r="AE11" s="10">
        <f>Importability_Qwen!E37</f>
        <v>1</v>
      </c>
      <c r="AF11" s="10">
        <f>Importability_Qwen!F37</f>
        <v>0.61111111111111116</v>
      </c>
      <c r="AG11" s="10">
        <f>Importability_Qwen!G37</f>
        <v>1</v>
      </c>
      <c r="AH11" s="10">
        <f>Importability_Qwen!H37</f>
        <v>1</v>
      </c>
      <c r="AI11" s="11">
        <f>SUM(Importability_Qwen!B30:H35)/81</f>
        <v>0.80246913580246915</v>
      </c>
      <c r="AM11" t="s">
        <v>19</v>
      </c>
      <c r="AN11" s="10">
        <f>(Importability_Qwen!B11+Importability_Qwen!B37)/2</f>
        <v>0.91666666666666663</v>
      </c>
      <c r="AO11" s="10">
        <f>(Importability_Qwen!C11+Importability_Qwen!C37)/2</f>
        <v>0.86111111111111116</v>
      </c>
      <c r="AP11" s="10">
        <f>(Importability_Qwen!D11+Importability_Qwen!D37)/2</f>
        <v>0.88888888888888884</v>
      </c>
      <c r="AQ11" s="10">
        <f>(Importability_Qwen!E11+Importability_Qwen!E37)/2</f>
        <v>1</v>
      </c>
      <c r="AR11" s="10">
        <f>(Importability_Qwen!F11+Importability_Qwen!F37)/2</f>
        <v>0.69444444444444442</v>
      </c>
      <c r="AS11" s="10">
        <f>(Importability_Qwen!G11+Importability_Qwen!G37)/2</f>
        <v>1</v>
      </c>
      <c r="AT11" s="10">
        <f>(Importability_Qwen!H11+Importability_Qwen!H37)/2</f>
        <v>1</v>
      </c>
      <c r="AU11" s="11">
        <f>(SUM(Importability_Qwen!B4:H9)+SUM(Importability_Qwen!B30:H35))/162</f>
        <v>0.85802469135802473</v>
      </c>
      <c r="AV11">
        <v>162</v>
      </c>
    </row>
    <row r="13" spans="1:48">
      <c r="N13" s="9" t="s">
        <v>60</v>
      </c>
      <c r="Z13" s="9" t="s">
        <v>62</v>
      </c>
      <c r="AL13" s="9" t="s">
        <v>50</v>
      </c>
    </row>
    <row r="14" spans="1:48">
      <c r="O14" t="s">
        <v>34</v>
      </c>
      <c r="P14" t="s">
        <v>1</v>
      </c>
      <c r="Q14" t="s">
        <v>2</v>
      </c>
      <c r="R14" t="s">
        <v>3</v>
      </c>
      <c r="S14" t="s">
        <v>4</v>
      </c>
      <c r="T14" t="s">
        <v>5</v>
      </c>
      <c r="U14" t="s">
        <v>6</v>
      </c>
      <c r="V14" t="s">
        <v>7</v>
      </c>
      <c r="W14" t="s">
        <v>46</v>
      </c>
      <c r="AB14" t="s">
        <v>1</v>
      </c>
      <c r="AC14" t="s">
        <v>2</v>
      </c>
      <c r="AD14" t="s">
        <v>3</v>
      </c>
      <c r="AE14" t="s">
        <v>4</v>
      </c>
      <c r="AF14" t="s">
        <v>5</v>
      </c>
      <c r="AG14" t="s">
        <v>6</v>
      </c>
      <c r="AH14" t="s">
        <v>7</v>
      </c>
      <c r="AI14" t="s">
        <v>47</v>
      </c>
      <c r="AN14" t="s">
        <v>1</v>
      </c>
      <c r="AO14" t="s">
        <v>2</v>
      </c>
      <c r="AP14" t="s">
        <v>3</v>
      </c>
      <c r="AQ14" t="s">
        <v>4</v>
      </c>
      <c r="AR14" t="s">
        <v>5</v>
      </c>
      <c r="AS14" t="s">
        <v>6</v>
      </c>
      <c r="AT14" t="s">
        <v>7</v>
      </c>
      <c r="AU14" t="s">
        <v>19</v>
      </c>
    </row>
    <row r="15" spans="1:48">
      <c r="O15" t="s">
        <v>8</v>
      </c>
      <c r="P15" s="10">
        <f>Importability_Qwen!B17/3</f>
        <v>1</v>
      </c>
      <c r="Q15" s="10">
        <f>Importability_Qwen!C17/3</f>
        <v>1</v>
      </c>
      <c r="R15" s="10">
        <f>Importability_Qwen!D17/3</f>
        <v>1</v>
      </c>
      <c r="S15" s="10"/>
      <c r="T15" s="10">
        <f>Importability_Qwen!F17/3</f>
        <v>1</v>
      </c>
      <c r="U15" s="10"/>
      <c r="V15" s="10"/>
      <c r="W15" s="10">
        <f>Importability_Qwen!J17</f>
        <v>1</v>
      </c>
      <c r="X15" s="10"/>
      <c r="AA15" t="s">
        <v>8</v>
      </c>
      <c r="AB15" s="10">
        <f>Importability_Qwen!B43/3</f>
        <v>1</v>
      </c>
      <c r="AC15" s="10">
        <f>Importability_Qwen!C43/3</f>
        <v>1</v>
      </c>
      <c r="AD15" s="10">
        <f>Importability_Qwen!D43/3</f>
        <v>1</v>
      </c>
      <c r="AE15" s="10"/>
      <c r="AF15" s="10">
        <f>Importability_Qwen!F43/3</f>
        <v>0.33333333333333331</v>
      </c>
      <c r="AG15" s="10"/>
      <c r="AH15" s="10"/>
      <c r="AI15" s="10">
        <f>Importability_Qwen!J43</f>
        <v>0.83333333333333337</v>
      </c>
      <c r="AJ15" s="10"/>
      <c r="AM15" t="s">
        <v>8</v>
      </c>
      <c r="AN15" s="10">
        <f>(Importability_Qwen!B17+Importability_Qwen!B43)/6</f>
        <v>1</v>
      </c>
      <c r="AO15" s="10">
        <f>(Importability_Qwen!C17+Importability_Qwen!C43)/6</f>
        <v>1</v>
      </c>
      <c r="AP15" s="10">
        <f>(Importability_Qwen!D17+Importability_Qwen!D43)/6</f>
        <v>1</v>
      </c>
      <c r="AQ15" s="10"/>
      <c r="AR15" s="10">
        <f>(Importability_Qwen!F17+Importability_Qwen!F43)/6</f>
        <v>0.66666666666666663</v>
      </c>
      <c r="AS15" s="10"/>
      <c r="AT15" s="10"/>
      <c r="AU15" s="10">
        <f>(SUM(Importability_Qwen!B17:H17)+SUM(Importability_Qwen!B43:H43))/24</f>
        <v>0.91666666666666663</v>
      </c>
    </row>
    <row r="16" spans="1:48">
      <c r="O16" t="s">
        <v>9</v>
      </c>
      <c r="P16" s="10">
        <f>Importability_Qwen!B18/3</f>
        <v>1</v>
      </c>
      <c r="Q16" s="10">
        <f>Importability_Qwen!C18/3</f>
        <v>1</v>
      </c>
      <c r="R16" s="10">
        <f>Importability_Qwen!D18/3</f>
        <v>1</v>
      </c>
      <c r="S16" s="10">
        <f>Importability_Qwen!E18/3</f>
        <v>1</v>
      </c>
      <c r="T16" s="10">
        <f>Importability_Qwen!F18/3</f>
        <v>1</v>
      </c>
      <c r="U16" s="10">
        <f>Importability_Qwen!G18/3</f>
        <v>1</v>
      </c>
      <c r="V16" s="10">
        <f>Importability_Qwen!H18/3</f>
        <v>1</v>
      </c>
      <c r="W16" s="10">
        <f>Importability_Qwen!J18</f>
        <v>1</v>
      </c>
      <c r="X16" s="10"/>
      <c r="AA16" t="s">
        <v>9</v>
      </c>
      <c r="AB16" s="10">
        <f>Importability_Qwen!B44/3</f>
        <v>1</v>
      </c>
      <c r="AC16" s="10">
        <f>Importability_Qwen!C44/3</f>
        <v>1</v>
      </c>
      <c r="AD16" s="10">
        <f>Importability_Qwen!D44/3</f>
        <v>1</v>
      </c>
      <c r="AE16" s="10">
        <f>Importability_Qwen!E44/3</f>
        <v>1</v>
      </c>
      <c r="AF16" s="10">
        <f>Importability_Qwen!F44/3</f>
        <v>1</v>
      </c>
      <c r="AG16" s="10">
        <f>Importability_Qwen!G44/3</f>
        <v>1</v>
      </c>
      <c r="AH16" s="10">
        <f>Importability_Qwen!H44/3</f>
        <v>1</v>
      </c>
      <c r="AI16" s="10">
        <f>Importability_Qwen!J44</f>
        <v>1</v>
      </c>
      <c r="AJ16" s="10"/>
      <c r="AM16" t="s">
        <v>9</v>
      </c>
      <c r="AN16" s="10">
        <f>(Importability_Qwen!B18+Importability_Qwen!B44)/6</f>
        <v>1</v>
      </c>
      <c r="AO16" s="10">
        <f>(Importability_Qwen!C18+Importability_Qwen!C44)/6</f>
        <v>1</v>
      </c>
      <c r="AP16" s="10">
        <f>(Importability_Qwen!D18+Importability_Qwen!D44)/6</f>
        <v>1</v>
      </c>
      <c r="AQ16" s="10">
        <f>(Importability_Qwen!E18+Importability_Qwen!E44)/6</f>
        <v>1</v>
      </c>
      <c r="AR16" s="10">
        <f>(Importability_Qwen!F18+Importability_Qwen!F44)/6</f>
        <v>1</v>
      </c>
      <c r="AS16" s="10">
        <f>(Importability_Qwen!G18+Importability_Qwen!G44)/6</f>
        <v>1</v>
      </c>
      <c r="AT16" s="10">
        <f>(Importability_Qwen!H18+Importability_Qwen!H44)/6</f>
        <v>1</v>
      </c>
      <c r="AU16" s="10">
        <f>(SUM(Importability_Qwen!B18:H18)+SUM(Importability_Qwen!B44:H44))/42</f>
        <v>1</v>
      </c>
    </row>
    <row r="17" spans="14:47">
      <c r="O17" t="s">
        <v>10</v>
      </c>
      <c r="P17" s="10">
        <f>Importability_Qwen!B19/3</f>
        <v>1</v>
      </c>
      <c r="Q17" s="10">
        <f>Importability_Qwen!C19/3</f>
        <v>1</v>
      </c>
      <c r="R17" s="10">
        <f>Importability_Qwen!D19/3</f>
        <v>0.66666666666666663</v>
      </c>
      <c r="S17" s="10"/>
      <c r="T17" s="10">
        <f>Importability_Qwen!F19/3</f>
        <v>1</v>
      </c>
      <c r="U17" s="10"/>
      <c r="V17" s="10"/>
      <c r="W17" s="10">
        <f>Importability_Qwen!J19</f>
        <v>0.91666666666666663</v>
      </c>
      <c r="X17" s="10"/>
      <c r="AA17" t="s">
        <v>10</v>
      </c>
      <c r="AB17" s="10">
        <f>Importability_Qwen!B45/3</f>
        <v>1</v>
      </c>
      <c r="AC17" s="10">
        <f>Importability_Qwen!C45/3</f>
        <v>1</v>
      </c>
      <c r="AD17" s="10">
        <f>Importability_Qwen!D45/3</f>
        <v>1</v>
      </c>
      <c r="AE17" s="10"/>
      <c r="AF17" s="10">
        <f>Importability_Qwen!F45/3</f>
        <v>1</v>
      </c>
      <c r="AG17" s="10"/>
      <c r="AH17" s="10"/>
      <c r="AI17" s="10">
        <f>Importability_Qwen!J45</f>
        <v>1</v>
      </c>
      <c r="AJ17" s="10"/>
      <c r="AM17" t="s">
        <v>10</v>
      </c>
      <c r="AN17" s="10">
        <f>(Importability_Qwen!B19+Importability_Qwen!B45)/6</f>
        <v>1</v>
      </c>
      <c r="AO17" s="10">
        <f>(Importability_Qwen!C19+Importability_Qwen!C45)/6</f>
        <v>1</v>
      </c>
      <c r="AP17" s="10">
        <f>(Importability_Qwen!D19+Importability_Qwen!D45)/6</f>
        <v>0.83333333333333337</v>
      </c>
      <c r="AQ17" s="10"/>
      <c r="AR17" s="10">
        <f>(Importability_Qwen!F19+Importability_Qwen!F45)/6</f>
        <v>1</v>
      </c>
      <c r="AS17" s="10"/>
      <c r="AT17" s="10"/>
      <c r="AU17" s="10">
        <f>(SUM(Importability_Qwen!B19:H19)+SUM(Importability_Qwen!B45:H45))/24</f>
        <v>0.95833333333333337</v>
      </c>
    </row>
    <row r="18" spans="14:47">
      <c r="O18" t="s">
        <v>11</v>
      </c>
      <c r="P18" s="10">
        <f>Importability_Qwen!B20/3</f>
        <v>1</v>
      </c>
      <c r="Q18" s="10">
        <f>Importability_Qwen!C20/3</f>
        <v>1</v>
      </c>
      <c r="R18" s="10">
        <f>Importability_Qwen!D20/3</f>
        <v>1</v>
      </c>
      <c r="S18" s="10"/>
      <c r="T18" s="10">
        <f>Importability_Qwen!F20/3</f>
        <v>1</v>
      </c>
      <c r="U18" s="10"/>
      <c r="V18" s="10"/>
      <c r="W18" s="10">
        <f>Importability_Qwen!J20</f>
        <v>1</v>
      </c>
      <c r="X18" s="10"/>
      <c r="AA18" t="s">
        <v>11</v>
      </c>
      <c r="AB18" s="10">
        <f>Importability_Qwen!B46/3</f>
        <v>1</v>
      </c>
      <c r="AC18" s="10">
        <f>Importability_Qwen!C46/3</f>
        <v>1</v>
      </c>
      <c r="AD18" s="10">
        <f>Importability_Qwen!D46/3</f>
        <v>0.66666666666666663</v>
      </c>
      <c r="AE18" s="10"/>
      <c r="AF18" s="10">
        <f>Importability_Qwen!F46/3</f>
        <v>0.66666666666666663</v>
      </c>
      <c r="AG18" s="10"/>
      <c r="AH18" s="10"/>
      <c r="AI18" s="10">
        <f>Importability_Qwen!J46</f>
        <v>0.83333333333333337</v>
      </c>
      <c r="AJ18" s="10"/>
      <c r="AM18" t="s">
        <v>11</v>
      </c>
      <c r="AN18" s="10">
        <f>(Importability_Qwen!B20+Importability_Qwen!B46)/6</f>
        <v>1</v>
      </c>
      <c r="AO18" s="10">
        <f>(Importability_Qwen!C20+Importability_Qwen!C46)/6</f>
        <v>1</v>
      </c>
      <c r="AP18" s="10">
        <f>(Importability_Qwen!D20+Importability_Qwen!D46)/6</f>
        <v>0.83333333333333337</v>
      </c>
      <c r="AQ18" s="10"/>
      <c r="AR18" s="10">
        <f>(Importability_Qwen!F20+Importability_Qwen!F46)/6</f>
        <v>0.83333333333333337</v>
      </c>
      <c r="AS18" s="10"/>
      <c r="AT18" s="10"/>
      <c r="AU18" s="10">
        <f>(SUM(Importability_Qwen!B20:H20)+SUM(Importability_Qwen!B46:H46))/24</f>
        <v>0.91666666666666663</v>
      </c>
    </row>
    <row r="19" spans="14:47">
      <c r="O19" t="s">
        <v>12</v>
      </c>
      <c r="P19" s="10">
        <f>Importability_Qwen!B21/3</f>
        <v>1</v>
      </c>
      <c r="Q19" s="10">
        <f>Importability_Qwen!C21/3</f>
        <v>1</v>
      </c>
      <c r="R19" s="10">
        <f>Importability_Qwen!D21/3</f>
        <v>1</v>
      </c>
      <c r="S19" s="10"/>
      <c r="T19" s="10">
        <f>Importability_Qwen!F21/3</f>
        <v>1</v>
      </c>
      <c r="U19" s="10"/>
      <c r="V19" s="10"/>
      <c r="W19" s="10">
        <f>Importability_Qwen!J21</f>
        <v>1</v>
      </c>
      <c r="X19" s="10"/>
      <c r="AA19" t="s">
        <v>12</v>
      </c>
      <c r="AB19" s="10">
        <f>Importability_Qwen!B47/3</f>
        <v>1</v>
      </c>
      <c r="AC19" s="10">
        <f>Importability_Qwen!C47/3</f>
        <v>1</v>
      </c>
      <c r="AD19" s="10">
        <f>Importability_Qwen!D47/3</f>
        <v>1</v>
      </c>
      <c r="AE19" s="10"/>
      <c r="AF19" s="10">
        <f>Importability_Qwen!F47/3</f>
        <v>1</v>
      </c>
      <c r="AG19" s="10"/>
      <c r="AH19" s="10"/>
      <c r="AI19" s="10">
        <f>Importability_Qwen!J47</f>
        <v>1</v>
      </c>
      <c r="AJ19" s="10"/>
      <c r="AM19" t="s">
        <v>12</v>
      </c>
      <c r="AN19" s="10">
        <f>(Importability_Qwen!B21+Importability_Qwen!B47)/6</f>
        <v>1</v>
      </c>
      <c r="AO19" s="10">
        <f>(Importability_Qwen!C21+Importability_Qwen!C47)/6</f>
        <v>1</v>
      </c>
      <c r="AP19" s="10">
        <f>(Importability_Qwen!D21+Importability_Qwen!D47)/6</f>
        <v>1</v>
      </c>
      <c r="AQ19" s="10"/>
      <c r="AR19" s="10">
        <f>(Importability_Qwen!F21+Importability_Qwen!F47)/6</f>
        <v>1</v>
      </c>
      <c r="AS19" s="10"/>
      <c r="AT19" s="10"/>
      <c r="AU19" s="10">
        <f>(SUM(Importability_Qwen!B21:H21)+SUM(Importability_Qwen!B47:H47))/24</f>
        <v>1</v>
      </c>
    </row>
    <row r="20" spans="14:47">
      <c r="O20" t="s">
        <v>13</v>
      </c>
      <c r="P20" s="10">
        <f>Importability_Qwen!B22/3</f>
        <v>1</v>
      </c>
      <c r="Q20" s="10">
        <f>Importability_Qwen!C22/3</f>
        <v>1</v>
      </c>
      <c r="R20" s="10">
        <f>Importability_Qwen!D22/3</f>
        <v>1</v>
      </c>
      <c r="S20" s="10"/>
      <c r="T20" s="10">
        <f>Importability_Qwen!F22/3</f>
        <v>1</v>
      </c>
      <c r="U20" s="10"/>
      <c r="V20" s="10"/>
      <c r="W20" s="10">
        <f>Importability_Qwen!J22</f>
        <v>1</v>
      </c>
      <c r="X20" s="10"/>
      <c r="AA20" t="s">
        <v>13</v>
      </c>
      <c r="AB20" s="10">
        <f>Importability_Qwen!B48/3</f>
        <v>1</v>
      </c>
      <c r="AC20" s="10">
        <f>Importability_Qwen!C48/3</f>
        <v>1</v>
      </c>
      <c r="AD20" s="10">
        <f>Importability_Qwen!D48/3</f>
        <v>1</v>
      </c>
      <c r="AE20" s="10"/>
      <c r="AF20" s="10">
        <f>Importability_Qwen!F48/3</f>
        <v>1</v>
      </c>
      <c r="AG20" s="10"/>
      <c r="AH20" s="10"/>
      <c r="AI20" s="10">
        <f>Importability_Qwen!J48</f>
        <v>1</v>
      </c>
      <c r="AJ20" s="10"/>
      <c r="AM20" t="s">
        <v>13</v>
      </c>
      <c r="AN20" s="10">
        <f>(Importability_Qwen!B22+Importability_Qwen!B48)/6</f>
        <v>1</v>
      </c>
      <c r="AO20" s="10">
        <f>(Importability_Qwen!C22+Importability_Qwen!C48)/6</f>
        <v>1</v>
      </c>
      <c r="AP20" s="10">
        <f>(Importability_Qwen!D22+Importability_Qwen!D48)/6</f>
        <v>1</v>
      </c>
      <c r="AQ20" s="10"/>
      <c r="AR20" s="10">
        <f>(Importability_Qwen!F22+Importability_Qwen!F48)/6</f>
        <v>1</v>
      </c>
      <c r="AS20" s="10"/>
      <c r="AT20" s="10"/>
      <c r="AU20" s="10">
        <f>(SUM(Importability_Qwen!B22:H22)+SUM(Importability_Qwen!B48:H48))/24</f>
        <v>1</v>
      </c>
    </row>
    <row r="21" spans="14:47">
      <c r="O21" t="s">
        <v>19</v>
      </c>
      <c r="P21" s="10">
        <f>Importability_Qwen!B24</f>
        <v>1</v>
      </c>
      <c r="Q21" s="10">
        <f>Importability_Qwen!C24</f>
        <v>1</v>
      </c>
      <c r="R21" s="10">
        <f>Importability_Qwen!D24</f>
        <v>0.94444444444444442</v>
      </c>
      <c r="S21" s="10">
        <f>Importability_Qwen!E24</f>
        <v>1</v>
      </c>
      <c r="T21" s="10">
        <f>Importability_Qwen!F24</f>
        <v>1</v>
      </c>
      <c r="U21" s="10">
        <f>Importability_Qwen!G24</f>
        <v>1</v>
      </c>
      <c r="V21" s="10">
        <f>Importability_Qwen!H24</f>
        <v>1</v>
      </c>
      <c r="W21" s="11">
        <f>SUM(Importability_Qwen!B17:H22)/81</f>
        <v>0.98765432098765427</v>
      </c>
      <c r="AA21" t="s">
        <v>19</v>
      </c>
      <c r="AB21" s="10">
        <f>Importability_Qwen!B50</f>
        <v>1</v>
      </c>
      <c r="AC21" s="10">
        <f>Importability_Qwen!C50</f>
        <v>1</v>
      </c>
      <c r="AD21" s="10">
        <f>Importability_Qwen!D50</f>
        <v>0.94444444444444442</v>
      </c>
      <c r="AE21" s="10">
        <f>Importability_Qwen!E50</f>
        <v>1</v>
      </c>
      <c r="AF21" s="10">
        <f>Importability_Qwen!F50</f>
        <v>0.83333333333333337</v>
      </c>
      <c r="AG21" s="10">
        <f>Importability_Qwen!G50</f>
        <v>1</v>
      </c>
      <c r="AH21" s="10">
        <f>Importability_Qwen!H50</f>
        <v>1</v>
      </c>
      <c r="AI21" s="11">
        <f>SUM(Importability_Qwen!B43:H48)/81</f>
        <v>0.95061728395061729</v>
      </c>
      <c r="AM21" t="s">
        <v>19</v>
      </c>
      <c r="AN21" s="10">
        <f>(SUM(Importability_Qwen!B17:B22)+SUM(Importability_Qwen!B43:B48))/36</f>
        <v>1</v>
      </c>
      <c r="AO21" s="10">
        <f>(SUM(Importability_Qwen!C17:C22)+SUM(Importability_Qwen!C43:C48))/36</f>
        <v>1</v>
      </c>
      <c r="AP21" s="10">
        <f>(SUM(Importability_Qwen!D17:D22)+SUM(Importability_Qwen!D43:D48))/36</f>
        <v>0.94444444444444442</v>
      </c>
      <c r="AQ21" s="10">
        <f>(SUM(Importability_Qwen!E17:E22)+SUM(Importability_Qwen!E43:E48))/6</f>
        <v>1</v>
      </c>
      <c r="AR21" s="10">
        <f>(SUM(Importability_Qwen!F17:F22)+SUM(Importability_Qwen!F43:F48))/36</f>
        <v>0.91666666666666663</v>
      </c>
      <c r="AS21" s="10">
        <f>(SUM(Importability_Qwen!G17:G22)+SUM(Importability_Qwen!G43:G48))/6</f>
        <v>1</v>
      </c>
      <c r="AT21" s="10">
        <f>(SUM(Importability_Qwen!H17:H22)+SUM(Importability_Qwen!H43:H48))/6</f>
        <v>1</v>
      </c>
      <c r="AU21" s="11">
        <f>(SUM(Importability_Qwen!B17:H22)+SUM(Importability_Qwen!B43:H48))/162</f>
        <v>0.96913580246913578</v>
      </c>
    </row>
    <row r="23" spans="14:47">
      <c r="N23" t="s">
        <v>67</v>
      </c>
      <c r="O23" s="10">
        <f>(SUM([1]Importability_Gemma!B4:H9)+SUM([1]Importability_Gemma!B30:H35))/162</f>
        <v>0.88888888888888884</v>
      </c>
    </row>
    <row r="24" spans="14:47">
      <c r="N24" t="s">
        <v>68</v>
      </c>
      <c r="O24" s="10">
        <f>(SUM([1]Importability_Gemma!B17:H22)+SUM([1]Importability_Gemma!B43:H48))/108</f>
        <v>0.49074074074074076</v>
      </c>
    </row>
    <row r="25" spans="14:47">
      <c r="N25" t="s">
        <v>51</v>
      </c>
      <c r="O25" s="10">
        <f>(SUM([1]Importability_Gemma!B4:H9)+SUM([1]Importability_Gemma!B17:H22))/135</f>
        <v>0.83703703703703702</v>
      </c>
    </row>
    <row r="26" spans="14:47">
      <c r="N26" t="s">
        <v>52</v>
      </c>
      <c r="O26" s="10">
        <f>(SUM([1]Importability_Gemma!B30:H35)+SUM([1]Importability_Gemma!B43:H48))/135</f>
        <v>0.62222222222222223</v>
      </c>
    </row>
    <row r="27" spans="14:47">
      <c r="N27" t="s">
        <v>19</v>
      </c>
      <c r="O27" s="10">
        <f>(SUM([1]Importability_Gemma!B4:H9)+SUM([1]Importability_Gemma!B17:H22)+SUM([1]Importability_Gemma!B30:H35)+SUM([1]Importability_Gemma!B43:H48))/270</f>
        <v>0.72962962962962963</v>
      </c>
    </row>
    <row r="28" spans="14:47">
      <c r="AA28" s="12"/>
    </row>
    <row r="30" spans="14:47">
      <c r="N30" t="s">
        <v>53</v>
      </c>
      <c r="O30" s="10">
        <f>(SUM([1]Importability_OpenAI!B4:H9)+SUM([1]Importability_OpenAI!B17:H22)+SUM([1]Importability_OpenAI!B30:H35)+SUM([1]Importability_OpenAI!B43:H48)+SUM([1]Importability_Gemini!B4:H9)+SUM([1]Importability_Gemini!B17:H22)+SUM([1]Importability_Gemini!B30:H35)+SUM([1]Importability_Gemini!B43:H48))/648</f>
        <v>0.90586419753086422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0AD34-67A6-4DC8-B563-EF2B36F0A4C4}">
  <dimension ref="A1:AX27"/>
  <sheetViews>
    <sheetView zoomScale="70" zoomScaleNormal="70" workbookViewId="0">
      <selection activeCell="J20" sqref="J20"/>
    </sheetView>
  </sheetViews>
  <sheetFormatPr baseColWidth="10" defaultRowHeight="14.5"/>
  <cols>
    <col min="2" max="2" width="13.7265625" bestFit="1" customWidth="1"/>
    <col min="3" max="3" width="14.26953125" bestFit="1" customWidth="1"/>
    <col min="4" max="4" width="13.7265625" bestFit="1" customWidth="1"/>
    <col min="5" max="5" width="14.26953125" bestFit="1" customWidth="1"/>
    <col min="6" max="6" width="13.7265625" bestFit="1" customWidth="1"/>
    <col min="7" max="7" width="14.26953125" bestFit="1" customWidth="1"/>
    <col min="8" max="8" width="13.7265625" bestFit="1" customWidth="1"/>
    <col min="9" max="9" width="14.26953125" bestFit="1" customWidth="1"/>
    <col min="10" max="10" width="12.54296875" customWidth="1"/>
    <col min="38" max="38" width="16.54296875" customWidth="1"/>
    <col min="48" max="48" width="17.26953125" customWidth="1"/>
  </cols>
  <sheetData>
    <row r="1" spans="1:50">
      <c r="A1" s="9" t="s">
        <v>32</v>
      </c>
      <c r="N1" s="9" t="s">
        <v>54</v>
      </c>
      <c r="Z1" s="9"/>
      <c r="AV1" t="s">
        <v>55</v>
      </c>
    </row>
    <row r="3" spans="1:50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N3" s="9" t="s">
        <v>59</v>
      </c>
      <c r="P3" t="s">
        <v>20</v>
      </c>
      <c r="Q3" t="s">
        <v>21</v>
      </c>
      <c r="R3" t="s">
        <v>56</v>
      </c>
      <c r="Z3" s="9" t="s">
        <v>61</v>
      </c>
      <c r="AB3" t="s">
        <v>20</v>
      </c>
      <c r="AC3" t="s">
        <v>21</v>
      </c>
      <c r="AD3" t="s">
        <v>56</v>
      </c>
      <c r="AL3" s="9" t="s">
        <v>59</v>
      </c>
      <c r="AQ3" s="9" t="s">
        <v>61</v>
      </c>
      <c r="AW3" s="10"/>
      <c r="AX3" s="10"/>
    </row>
    <row r="4" spans="1:50">
      <c r="A4" t="s">
        <v>8</v>
      </c>
      <c r="B4">
        <v>2</v>
      </c>
      <c r="C4">
        <v>1</v>
      </c>
      <c r="D4">
        <v>3</v>
      </c>
      <c r="E4">
        <v>2</v>
      </c>
      <c r="F4">
        <v>8</v>
      </c>
      <c r="G4">
        <v>7</v>
      </c>
      <c r="H4">
        <v>12</v>
      </c>
      <c r="I4">
        <v>11</v>
      </c>
      <c r="J4">
        <f t="shared" ref="J4:K9" si="0">B4+D4+F4+H4</f>
        <v>25</v>
      </c>
      <c r="K4">
        <f t="shared" si="0"/>
        <v>21</v>
      </c>
      <c r="O4" t="s">
        <v>34</v>
      </c>
      <c r="P4" t="s">
        <v>1</v>
      </c>
      <c r="Q4" t="s">
        <v>1</v>
      </c>
      <c r="R4" t="s">
        <v>2</v>
      </c>
      <c r="S4" t="s">
        <v>2</v>
      </c>
      <c r="T4" t="s">
        <v>17</v>
      </c>
      <c r="U4" t="s">
        <v>17</v>
      </c>
      <c r="V4" t="s">
        <v>18</v>
      </c>
      <c r="W4" t="s">
        <v>18</v>
      </c>
      <c r="AA4" t="s">
        <v>34</v>
      </c>
      <c r="AB4" t="s">
        <v>1</v>
      </c>
      <c r="AC4" t="s">
        <v>1</v>
      </c>
      <c r="AD4" t="s">
        <v>2</v>
      </c>
      <c r="AE4" t="s">
        <v>2</v>
      </c>
      <c r="AF4" t="s">
        <v>17</v>
      </c>
      <c r="AG4" t="s">
        <v>17</v>
      </c>
      <c r="AH4" t="s">
        <v>18</v>
      </c>
      <c r="AI4" t="s">
        <v>18</v>
      </c>
      <c r="AL4" t="s">
        <v>34</v>
      </c>
      <c r="AM4" t="s">
        <v>20</v>
      </c>
      <c r="AN4" t="s">
        <v>21</v>
      </c>
      <c r="AQ4" t="s">
        <v>34</v>
      </c>
      <c r="AR4" t="s">
        <v>20</v>
      </c>
      <c r="AS4" t="s">
        <v>21</v>
      </c>
    </row>
    <row r="5" spans="1:50">
      <c r="A5" t="s">
        <v>9</v>
      </c>
      <c r="B5">
        <v>6</v>
      </c>
      <c r="C5">
        <v>4</v>
      </c>
      <c r="D5">
        <v>8</v>
      </c>
      <c r="E5">
        <v>6</v>
      </c>
      <c r="F5">
        <v>15</v>
      </c>
      <c r="G5">
        <v>12</v>
      </c>
      <c r="H5">
        <v>29</v>
      </c>
      <c r="I5">
        <v>24</v>
      </c>
      <c r="J5">
        <f t="shared" si="0"/>
        <v>58</v>
      </c>
      <c r="K5">
        <f t="shared" si="0"/>
        <v>46</v>
      </c>
      <c r="O5" t="s">
        <v>8</v>
      </c>
      <c r="P5" s="10">
        <f>Completeness_Qwen!B4/Diagramme_Completness!B4</f>
        <v>1</v>
      </c>
      <c r="Q5" s="10">
        <f>Completeness_Qwen!C4/Diagramme_Completness!C4</f>
        <v>1</v>
      </c>
      <c r="R5" s="10">
        <f>Completeness_Qwen!D4/Diagramme_Completness!D4</f>
        <v>1</v>
      </c>
      <c r="S5" s="10">
        <f>Completeness_Qwen!E4/Diagramme_Completness!E4</f>
        <v>1</v>
      </c>
      <c r="T5" s="10">
        <f>Completeness_Qwen!F4/Diagramme_Completness!F4</f>
        <v>1</v>
      </c>
      <c r="U5" s="10">
        <f>Completeness_Qwen!G4/Diagramme_Completness!G4</f>
        <v>1</v>
      </c>
      <c r="V5" s="10">
        <f>Completeness_Qwen!H4/Diagramme_Completness!H4</f>
        <v>1</v>
      </c>
      <c r="W5" s="10">
        <f>Completeness_Qwen!I4/Diagramme_Completness!I4</f>
        <v>1</v>
      </c>
      <c r="AA5" t="s">
        <v>8</v>
      </c>
      <c r="AB5" s="10">
        <f>Completeness_Qwen!B30/Diagramme_Completness!B4</f>
        <v>1</v>
      </c>
      <c r="AC5" s="10">
        <f>Completeness_Qwen!C30/Diagramme_Completness!C4</f>
        <v>1</v>
      </c>
      <c r="AD5" s="10">
        <f>Completeness_Qwen!D30/Diagramme_Completness!D4</f>
        <v>1</v>
      </c>
      <c r="AE5" s="10">
        <f>Completeness_Qwen!E30/Diagramme_Completness!E4</f>
        <v>0</v>
      </c>
      <c r="AF5" s="10">
        <f>Completeness_Qwen!F30/Diagramme_Completness!F4</f>
        <v>0.875</v>
      </c>
      <c r="AG5" s="10">
        <f>Completeness_Qwen!G30/Diagramme_Completness!G4</f>
        <v>0.5714285714285714</v>
      </c>
      <c r="AH5" s="10">
        <f>Completeness_Qwen!H30/Diagramme_Completness!H4</f>
        <v>0</v>
      </c>
      <c r="AI5" s="10">
        <f>Completeness_Qwen!I30/Diagramme_Completness!I4</f>
        <v>0</v>
      </c>
      <c r="AJ5" s="10"/>
      <c r="AL5" t="s">
        <v>8</v>
      </c>
      <c r="AM5" s="10">
        <f>Completeness_Qwen!K4/Diagramme_Completness!J4</f>
        <v>1</v>
      </c>
      <c r="AN5" s="10">
        <f>Completeness_Qwen!L4/Diagramme_Completness!K4</f>
        <v>1</v>
      </c>
      <c r="AQ5" t="s">
        <v>8</v>
      </c>
      <c r="AR5" s="10">
        <f>Completeness_Qwen!K30/Diagramme_Completness!J4</f>
        <v>0.48</v>
      </c>
      <c r="AS5" s="10">
        <f>Completeness_Qwen!L30/Diagramme_Completness!K4</f>
        <v>0.23809523809523808</v>
      </c>
      <c r="AW5" s="10"/>
      <c r="AX5" s="10"/>
    </row>
    <row r="6" spans="1:50">
      <c r="A6" t="s">
        <v>10</v>
      </c>
      <c r="B6">
        <v>6</v>
      </c>
      <c r="C6">
        <v>0</v>
      </c>
      <c r="D6">
        <v>9</v>
      </c>
      <c r="E6">
        <v>3</v>
      </c>
      <c r="F6">
        <v>17</v>
      </c>
      <c r="G6">
        <v>7</v>
      </c>
      <c r="H6">
        <v>29</v>
      </c>
      <c r="I6">
        <v>16</v>
      </c>
      <c r="J6">
        <f t="shared" si="0"/>
        <v>61</v>
      </c>
      <c r="K6">
        <f t="shared" si="0"/>
        <v>26</v>
      </c>
      <c r="O6" t="s">
        <v>9</v>
      </c>
      <c r="P6" s="10">
        <f>Completeness_Qwen!B5/Diagramme_Completness!B5</f>
        <v>0.83333333333333337</v>
      </c>
      <c r="Q6" s="10">
        <f>Completeness_Qwen!C5/Diagramme_Completness!C5</f>
        <v>1</v>
      </c>
      <c r="R6" s="10">
        <f>Completeness_Qwen!D5/Diagramme_Completness!D5</f>
        <v>0.875</v>
      </c>
      <c r="S6" s="10">
        <f>Completeness_Qwen!E5/Diagramme_Completness!E5</f>
        <v>1</v>
      </c>
      <c r="T6" s="10">
        <f>Completeness_Qwen!F5/Diagramme_Completness!F5</f>
        <v>0.93333333333333335</v>
      </c>
      <c r="U6" s="10">
        <f>Completeness_Qwen!G5/Diagramme_Completness!G5</f>
        <v>0.83333333333333337</v>
      </c>
      <c r="V6" s="10">
        <f>Completeness_Qwen!H5/Diagramme_Completness!H5</f>
        <v>0.96551724137931039</v>
      </c>
      <c r="W6" s="10">
        <f>Completeness_Qwen!I5/Diagramme_Completness!I5</f>
        <v>0.91666666666666663</v>
      </c>
      <c r="AA6" t="s">
        <v>9</v>
      </c>
      <c r="AB6" s="10">
        <f>Completeness_Qwen!B31/Diagramme_Completness!B5</f>
        <v>0.83333333333333337</v>
      </c>
      <c r="AC6" s="10">
        <f>Completeness_Qwen!C31/Diagramme_Completness!C5</f>
        <v>1</v>
      </c>
      <c r="AD6" s="10">
        <f>Completeness_Qwen!D31/Diagramme_Completness!D5</f>
        <v>0.875</v>
      </c>
      <c r="AE6" s="10">
        <f>Completeness_Qwen!E31/Diagramme_Completness!E5</f>
        <v>1</v>
      </c>
      <c r="AF6" s="10">
        <f>Completeness_Qwen!F31/Diagramme_Completness!F5</f>
        <v>0.93333333333333335</v>
      </c>
      <c r="AG6" s="10">
        <f>Completeness_Qwen!G31/Diagramme_Completness!G5</f>
        <v>0.83333333333333337</v>
      </c>
      <c r="AH6" s="10">
        <f>Completeness_Qwen!H31/Diagramme_Completness!H5</f>
        <v>0.96551724137931039</v>
      </c>
      <c r="AI6" s="10">
        <f>Completeness_Qwen!I31/Diagramme_Completness!I5</f>
        <v>0.875</v>
      </c>
      <c r="AJ6" s="10"/>
      <c r="AL6" t="s">
        <v>9</v>
      </c>
      <c r="AM6" s="10">
        <f>Completeness_Qwen!K5/Diagramme_Completness!J5</f>
        <v>0.93103448275862066</v>
      </c>
      <c r="AN6" s="10">
        <f>Completeness_Qwen!L5/Diagramme_Completness!K5</f>
        <v>0.91304347826086951</v>
      </c>
      <c r="AQ6" t="s">
        <v>9</v>
      </c>
      <c r="AR6" s="10">
        <f>Completeness_Qwen!K31/Diagramme_Completness!J5</f>
        <v>0.93103448275862066</v>
      </c>
      <c r="AS6" s="10">
        <f>Completeness_Qwen!L31/Diagramme_Completness!K5</f>
        <v>0.89130434782608692</v>
      </c>
      <c r="AW6" s="10"/>
      <c r="AX6" s="10"/>
    </row>
    <row r="7" spans="1:50">
      <c r="A7" t="s">
        <v>11</v>
      </c>
      <c r="B7">
        <v>2</v>
      </c>
      <c r="C7">
        <v>1</v>
      </c>
      <c r="D7">
        <v>4</v>
      </c>
      <c r="E7">
        <v>3</v>
      </c>
      <c r="F7">
        <v>9</v>
      </c>
      <c r="G7">
        <v>8</v>
      </c>
      <c r="H7">
        <v>13</v>
      </c>
      <c r="I7">
        <v>12</v>
      </c>
      <c r="J7">
        <f t="shared" si="0"/>
        <v>28</v>
      </c>
      <c r="K7">
        <f t="shared" si="0"/>
        <v>24</v>
      </c>
      <c r="O7" t="s">
        <v>10</v>
      </c>
      <c r="P7" s="10">
        <f>Completeness_Qwen!B6/Diagramme_Completness!B6</f>
        <v>1</v>
      </c>
      <c r="Q7" s="10">
        <v>1</v>
      </c>
      <c r="R7" s="10">
        <f>Completeness_Qwen!D6/Diagramme_Completness!D6</f>
        <v>1</v>
      </c>
      <c r="S7" s="10">
        <f>Completeness_Qwen!E6/Diagramme_Completness!E6</f>
        <v>1</v>
      </c>
      <c r="T7" s="10">
        <f>Completeness_Qwen!F6/Diagramme_Completness!F6</f>
        <v>0.94117647058823528</v>
      </c>
      <c r="U7" s="10">
        <f>Completeness_Qwen!G6/Diagramme_Completness!G6</f>
        <v>0.8571428571428571</v>
      </c>
      <c r="V7" s="10">
        <f>Completeness_Qwen!H6/Diagramme_Completness!H6</f>
        <v>1</v>
      </c>
      <c r="W7" s="10">
        <f>Completeness_Qwen!I6/Diagramme_Completness!I6</f>
        <v>0.875</v>
      </c>
      <c r="AA7" t="s">
        <v>10</v>
      </c>
      <c r="AB7" s="10">
        <f>Completeness_Qwen!B32/Diagramme_Completness!B6</f>
        <v>1</v>
      </c>
      <c r="AC7" s="10">
        <v>1</v>
      </c>
      <c r="AD7" s="10">
        <f>Completeness_Qwen!D32/Diagramme_Completness!D6</f>
        <v>0.88888888888888884</v>
      </c>
      <c r="AE7" s="10">
        <f>Completeness_Qwen!E32/Diagramme_Completness!E6</f>
        <v>0.66666666666666663</v>
      </c>
      <c r="AF7" s="10">
        <f>Completeness_Qwen!F32/Diagramme_Completness!F6</f>
        <v>0.82352941176470584</v>
      </c>
      <c r="AG7" s="10">
        <f>Completeness_Qwen!G32/Diagramme_Completness!G6</f>
        <v>0.5714285714285714</v>
      </c>
      <c r="AH7" s="10">
        <f>Completeness_Qwen!H32/Diagramme_Completness!H6</f>
        <v>0.96551724137931039</v>
      </c>
      <c r="AI7" s="10">
        <f>Completeness_Qwen!I32/Diagramme_Completness!I6</f>
        <v>1</v>
      </c>
      <c r="AJ7" s="10"/>
      <c r="AL7" t="s">
        <v>10</v>
      </c>
      <c r="AM7" s="10">
        <f>Completeness_Qwen!K6/Diagramme_Completness!J6</f>
        <v>0.98360655737704916</v>
      </c>
      <c r="AN7" s="10">
        <f>Completeness_Qwen!L6/Diagramme_Completness!K6</f>
        <v>0.88461538461538458</v>
      </c>
      <c r="AQ7" t="s">
        <v>10</v>
      </c>
      <c r="AR7" s="10">
        <f>Completeness_Qwen!K32/Diagramme_Completness!J6</f>
        <v>0.91803278688524592</v>
      </c>
      <c r="AS7" s="10">
        <f>Completeness_Qwen!L32/Diagramme_Completness!K6</f>
        <v>0.84615384615384615</v>
      </c>
    </row>
    <row r="8" spans="1:50">
      <c r="A8" t="s">
        <v>12</v>
      </c>
      <c r="B8">
        <v>4</v>
      </c>
      <c r="C8">
        <v>3</v>
      </c>
      <c r="D8">
        <v>7</v>
      </c>
      <c r="E8">
        <v>6</v>
      </c>
      <c r="F8">
        <v>11</v>
      </c>
      <c r="G8">
        <v>9</v>
      </c>
      <c r="H8">
        <v>14</v>
      </c>
      <c r="I8">
        <v>12</v>
      </c>
      <c r="J8">
        <f t="shared" si="0"/>
        <v>36</v>
      </c>
      <c r="K8">
        <f t="shared" si="0"/>
        <v>30</v>
      </c>
      <c r="O8" t="s">
        <v>11</v>
      </c>
      <c r="P8" s="10">
        <f>Completeness_Qwen!B7/Diagramme_Completness!B7</f>
        <v>1</v>
      </c>
      <c r="Q8" s="10">
        <f>Completeness_Qwen!C7/Diagramme_Completness!C7</f>
        <v>1</v>
      </c>
      <c r="R8" s="10">
        <f>Completeness_Qwen!D7/Diagramme_Completness!D7</f>
        <v>1</v>
      </c>
      <c r="S8" s="10">
        <f>Completeness_Qwen!E7/Diagramme_Completness!E7</f>
        <v>1</v>
      </c>
      <c r="T8" s="10">
        <f>Completeness_Qwen!F7/Diagramme_Completness!F7</f>
        <v>1</v>
      </c>
      <c r="U8" s="10">
        <f>Completeness_Qwen!G7/Diagramme_Completness!G7</f>
        <v>1</v>
      </c>
      <c r="V8" s="10">
        <f>Completeness_Qwen!H7/Diagramme_Completness!H7</f>
        <v>1</v>
      </c>
      <c r="W8" s="10">
        <f>Completeness_Qwen!I7/Diagramme_Completness!I7</f>
        <v>1</v>
      </c>
      <c r="AA8" t="s">
        <v>11</v>
      </c>
      <c r="AB8" s="10">
        <f>Completeness_Qwen!B33/Diagramme_Completness!B7</f>
        <v>1</v>
      </c>
      <c r="AC8" s="10">
        <f>Completeness_Qwen!C33/Diagramme_Completness!C7</f>
        <v>1</v>
      </c>
      <c r="AD8" s="10">
        <f>Completeness_Qwen!D33/Diagramme_Completness!D7</f>
        <v>1</v>
      </c>
      <c r="AE8" s="10">
        <f>Completeness_Qwen!E33/Diagramme_Completness!E7</f>
        <v>0.33333333333333331</v>
      </c>
      <c r="AF8" s="10">
        <f>Completeness_Qwen!F33/Diagramme_Completness!F7</f>
        <v>1</v>
      </c>
      <c r="AG8" s="10">
        <f>Completeness_Qwen!G33/Diagramme_Completness!G7</f>
        <v>0.625</v>
      </c>
      <c r="AH8" s="10">
        <f>Completeness_Qwen!H33/Diagramme_Completness!H7</f>
        <v>0.69230769230769229</v>
      </c>
      <c r="AI8" s="10">
        <f>Completeness_Qwen!I33/Diagramme_Completness!I7</f>
        <v>0.16666666666666666</v>
      </c>
      <c r="AJ8" s="10"/>
      <c r="AL8" t="s">
        <v>11</v>
      </c>
      <c r="AM8" s="10">
        <f>Completeness_Qwen!K7/Diagramme_Completness!J7</f>
        <v>1</v>
      </c>
      <c r="AN8" s="10">
        <f>Completeness_Qwen!L7/Diagramme_Completness!K7</f>
        <v>1</v>
      </c>
      <c r="AQ8" t="s">
        <v>11</v>
      </c>
      <c r="AR8" s="10">
        <f>Completeness_Qwen!K33/Diagramme_Completness!J7</f>
        <v>0.8571428571428571</v>
      </c>
      <c r="AS8" s="10">
        <f>Completeness_Qwen!L33/Diagramme_Completness!K7</f>
        <v>0.375</v>
      </c>
    </row>
    <row r="9" spans="1:50">
      <c r="A9" t="s">
        <v>13</v>
      </c>
      <c r="B9">
        <v>2</v>
      </c>
      <c r="C9">
        <v>1</v>
      </c>
      <c r="D9">
        <v>5</v>
      </c>
      <c r="E9">
        <v>4</v>
      </c>
      <c r="F9">
        <v>9</v>
      </c>
      <c r="G9">
        <v>8</v>
      </c>
      <c r="H9">
        <v>12</v>
      </c>
      <c r="I9">
        <v>10</v>
      </c>
      <c r="J9">
        <f t="shared" si="0"/>
        <v>28</v>
      </c>
      <c r="K9">
        <f t="shared" si="0"/>
        <v>23</v>
      </c>
      <c r="O9" t="s">
        <v>12</v>
      </c>
      <c r="P9" s="10">
        <f>Completeness_Qwen!B8/Diagramme_Completness!B8</f>
        <v>1</v>
      </c>
      <c r="Q9" s="10">
        <f>Completeness_Qwen!C8/Diagramme_Completness!C8</f>
        <v>1</v>
      </c>
      <c r="R9" s="10">
        <f>Completeness_Qwen!D8/Diagramme_Completness!D8</f>
        <v>1</v>
      </c>
      <c r="S9" s="10">
        <f>Completeness_Qwen!E8/Diagramme_Completness!E8</f>
        <v>1</v>
      </c>
      <c r="T9" s="10">
        <f>Completeness_Qwen!F8/Diagramme_Completness!F8</f>
        <v>1</v>
      </c>
      <c r="U9" s="10">
        <f>Completeness_Qwen!G8/Diagramme_Completness!G8</f>
        <v>1</v>
      </c>
      <c r="V9" s="10">
        <f>Completeness_Qwen!H8/Diagramme_Completness!H8</f>
        <v>1</v>
      </c>
      <c r="W9" s="10">
        <f>Completeness_Qwen!I8/Diagramme_Completness!I8</f>
        <v>0.75</v>
      </c>
      <c r="AA9" t="s">
        <v>12</v>
      </c>
      <c r="AB9" s="10">
        <f>Completeness_Qwen!B34/Diagramme_Completness!B8</f>
        <v>1</v>
      </c>
      <c r="AC9" s="10">
        <f>Completeness_Qwen!C34/Diagramme_Completness!C8</f>
        <v>1</v>
      </c>
      <c r="AD9" s="10">
        <f>Completeness_Qwen!D34/Diagramme_Completness!D8</f>
        <v>1</v>
      </c>
      <c r="AE9" s="10">
        <f>Completeness_Qwen!E34/Diagramme_Completness!E8</f>
        <v>1</v>
      </c>
      <c r="AF9" s="10">
        <f>Completeness_Qwen!F34/Diagramme_Completness!F8</f>
        <v>0.72727272727272729</v>
      </c>
      <c r="AG9" s="10">
        <f>Completeness_Qwen!G34/Diagramme_Completness!G8</f>
        <v>0.66666666666666663</v>
      </c>
      <c r="AH9" s="10">
        <f>Completeness_Qwen!H34/Diagramme_Completness!H8</f>
        <v>0.7857142857142857</v>
      </c>
      <c r="AI9" s="10">
        <f>Completeness_Qwen!I34/Diagramme_Completness!I8</f>
        <v>0.58333333333333337</v>
      </c>
      <c r="AJ9" s="10"/>
      <c r="AL9" t="s">
        <v>12</v>
      </c>
      <c r="AM9" s="10">
        <f>Completeness_Qwen!K8/Diagramme_Completness!J8</f>
        <v>1</v>
      </c>
      <c r="AN9" s="10">
        <f>Completeness_Qwen!L8/Diagramme_Completness!K8</f>
        <v>0.9</v>
      </c>
      <c r="AQ9" t="s">
        <v>12</v>
      </c>
      <c r="AR9" s="10">
        <f>Completeness_Qwen!K34/Diagramme_Completness!J8</f>
        <v>0.83333333333333337</v>
      </c>
      <c r="AS9" s="10">
        <f>Completeness_Qwen!L34/Diagramme_Completness!K8</f>
        <v>0.73333333333333328</v>
      </c>
    </row>
    <row r="10" spans="1:50">
      <c r="A10" t="s">
        <v>48</v>
      </c>
      <c r="B10">
        <f>SUM(B4:B9)</f>
        <v>22</v>
      </c>
      <c r="C10">
        <f t="shared" ref="C10:K10" si="1">SUM(C4:C9)</f>
        <v>10</v>
      </c>
      <c r="D10">
        <f t="shared" si="1"/>
        <v>36</v>
      </c>
      <c r="E10">
        <f t="shared" si="1"/>
        <v>24</v>
      </c>
      <c r="F10">
        <f t="shared" si="1"/>
        <v>69</v>
      </c>
      <c r="G10">
        <f t="shared" si="1"/>
        <v>51</v>
      </c>
      <c r="H10">
        <f t="shared" si="1"/>
        <v>109</v>
      </c>
      <c r="I10">
        <f t="shared" si="1"/>
        <v>85</v>
      </c>
      <c r="J10">
        <f>SUM(J4:J9)</f>
        <v>236</v>
      </c>
      <c r="K10">
        <f t="shared" si="1"/>
        <v>170</v>
      </c>
      <c r="O10" t="s">
        <v>13</v>
      </c>
      <c r="P10" s="10">
        <f>Completeness_Qwen!B9/Diagramme_Completness!B9</f>
        <v>1</v>
      </c>
      <c r="Q10" s="10">
        <f>Completeness_Qwen!C9/Diagramme_Completness!C9</f>
        <v>1</v>
      </c>
      <c r="R10" s="10">
        <f>Completeness_Qwen!D9/Diagramme_Completness!D9</f>
        <v>1</v>
      </c>
      <c r="S10" s="10">
        <f>Completeness_Qwen!E9/Diagramme_Completness!E9</f>
        <v>1</v>
      </c>
      <c r="T10" s="10">
        <f>Completeness_Qwen!F9/Diagramme_Completness!F9</f>
        <v>1</v>
      </c>
      <c r="U10" s="10">
        <f>Completeness_Qwen!G9/Diagramme_Completness!G9</f>
        <v>0.75</v>
      </c>
      <c r="V10" s="10">
        <f>Completeness_Qwen!H9/Diagramme_Completness!H9</f>
        <v>1</v>
      </c>
      <c r="W10" s="10">
        <f>Completeness_Qwen!I9/Diagramme_Completness!I9</f>
        <v>0.6</v>
      </c>
      <c r="AA10" t="s">
        <v>13</v>
      </c>
      <c r="AB10" s="10">
        <f>Completeness_Qwen!B35/Diagramme_Completness!B9</f>
        <v>1</v>
      </c>
      <c r="AC10" s="10">
        <f>Completeness_Qwen!C35/Diagramme_Completness!C9</f>
        <v>1</v>
      </c>
      <c r="AD10" s="10">
        <f>Completeness_Qwen!D35/Diagramme_Completness!D9</f>
        <v>1</v>
      </c>
      <c r="AE10" s="10">
        <f>Completeness_Qwen!E35/Diagramme_Completness!E9</f>
        <v>1</v>
      </c>
      <c r="AF10" s="10">
        <f>Completeness_Qwen!F35/Diagramme_Completness!F9</f>
        <v>1</v>
      </c>
      <c r="AG10" s="10">
        <f>Completeness_Qwen!G35/Diagramme_Completness!G9</f>
        <v>0.75</v>
      </c>
      <c r="AH10" s="10">
        <f>Completeness_Qwen!H35/Diagramme_Completness!H9</f>
        <v>1</v>
      </c>
      <c r="AI10" s="10">
        <f>Completeness_Qwen!I35/Diagramme_Completness!I9</f>
        <v>0.6</v>
      </c>
      <c r="AJ10" s="10"/>
      <c r="AL10" t="s">
        <v>13</v>
      </c>
      <c r="AM10" s="10">
        <f>Completeness_Qwen!K9/Diagramme_Completness!J9</f>
        <v>1</v>
      </c>
      <c r="AN10" s="10">
        <f>Completeness_Qwen!L9/Diagramme_Completness!K9</f>
        <v>0.73913043478260865</v>
      </c>
      <c r="AQ10" t="s">
        <v>13</v>
      </c>
      <c r="AR10" s="10">
        <f>Completeness_Qwen!K35/Diagramme_Completness!J9</f>
        <v>1</v>
      </c>
      <c r="AS10" s="10">
        <f>Completeness_Qwen!L35/Diagramme_Completness!K9</f>
        <v>0.73913043478260865</v>
      </c>
    </row>
    <row r="11" spans="1:50">
      <c r="A11" t="s">
        <v>49</v>
      </c>
      <c r="C11">
        <v>9</v>
      </c>
      <c r="E11">
        <v>12</v>
      </c>
      <c r="G11">
        <v>17</v>
      </c>
      <c r="I11">
        <v>20</v>
      </c>
      <c r="AL11" t="s">
        <v>19</v>
      </c>
      <c r="AM11" s="10">
        <f>SUM(Completeness_Qwen!K4:K9)/Diagramme_Completness!J10</f>
        <v>0.97881355932203384</v>
      </c>
      <c r="AN11" s="10">
        <f>SUM(Completeness_Qwen!L4:L9)/Diagramme_Completness!K10</f>
        <v>0.90588235294117647</v>
      </c>
      <c r="AQ11" t="s">
        <v>19</v>
      </c>
      <c r="AR11" s="10">
        <f>SUM(Completeness_Qwen!K30:K35)/Diagramme_Completness!J10</f>
        <v>0.86440677966101698</v>
      </c>
      <c r="AS11" s="10">
        <f>SUM(Completeness_Qwen!L30:L35)/Diagramme_Completness!K10</f>
        <v>0.68235294117647061</v>
      </c>
    </row>
    <row r="13" spans="1:50">
      <c r="N13" s="9" t="s">
        <v>60</v>
      </c>
      <c r="Z13" s="9" t="s">
        <v>61</v>
      </c>
      <c r="AL13" s="9" t="s">
        <v>60</v>
      </c>
      <c r="AQ13" s="9" t="s">
        <v>62</v>
      </c>
    </row>
    <row r="14" spans="1:50">
      <c r="P14" t="s">
        <v>1</v>
      </c>
      <c r="Q14" t="s">
        <v>1</v>
      </c>
      <c r="R14" t="s">
        <v>2</v>
      </c>
      <c r="S14" t="s">
        <v>2</v>
      </c>
      <c r="T14" t="s">
        <v>17</v>
      </c>
      <c r="U14" t="s">
        <v>17</v>
      </c>
      <c r="V14" t="s">
        <v>18</v>
      </c>
      <c r="W14" t="s">
        <v>18</v>
      </c>
      <c r="AB14" t="s">
        <v>1</v>
      </c>
      <c r="AC14" t="s">
        <v>1</v>
      </c>
      <c r="AD14" t="s">
        <v>2</v>
      </c>
      <c r="AE14" t="s">
        <v>2</v>
      </c>
      <c r="AF14" t="s">
        <v>17</v>
      </c>
      <c r="AG14" t="s">
        <v>17</v>
      </c>
      <c r="AH14" t="s">
        <v>18</v>
      </c>
      <c r="AI14" t="s">
        <v>18</v>
      </c>
      <c r="AM14" t="s">
        <v>20</v>
      </c>
      <c r="AN14" t="s">
        <v>21</v>
      </c>
      <c r="AR14" t="s">
        <v>20</v>
      </c>
      <c r="AS14" t="s">
        <v>21</v>
      </c>
    </row>
    <row r="15" spans="1:50">
      <c r="O15" t="s">
        <v>8</v>
      </c>
      <c r="P15" s="10">
        <f>Completeness_Qwen!B17/Diagramme_Completness!B4</f>
        <v>1</v>
      </c>
      <c r="Q15" s="10">
        <f>Completeness_Qwen!C17/Diagramme_Completness!C4</f>
        <v>1</v>
      </c>
      <c r="R15" s="10">
        <f>Completeness_Qwen!D17/Diagramme_Completness!D4</f>
        <v>1</v>
      </c>
      <c r="S15" s="10">
        <f>Completeness_Qwen!E17/Diagramme_Completness!E4</f>
        <v>1</v>
      </c>
      <c r="T15" s="10">
        <f>Completeness_Qwen!F17/Diagramme_Completness!F4</f>
        <v>1</v>
      </c>
      <c r="U15" s="10">
        <f>Completeness_Qwen!G17/Diagramme_Completness!G4</f>
        <v>1</v>
      </c>
      <c r="V15" s="10">
        <f>Completeness_Qwen!H17/Diagramme_Completness!H4</f>
        <v>1</v>
      </c>
      <c r="W15" s="10">
        <f>Completeness_Qwen!I17/Diagramme_Completness!I4</f>
        <v>1</v>
      </c>
      <c r="AA15" t="s">
        <v>8</v>
      </c>
      <c r="AB15" s="10">
        <f>Completeness_Qwen!B43/Diagramme_Completness!B4</f>
        <v>1</v>
      </c>
      <c r="AC15" s="10">
        <f>Completeness_Qwen!C43/Diagramme_Completness!C4</f>
        <v>1</v>
      </c>
      <c r="AD15" s="10">
        <f>Completeness_Qwen!D43/Diagramme_Completness!D4</f>
        <v>1</v>
      </c>
      <c r="AE15" s="10">
        <f>Completeness_Qwen!E43/Diagramme_Completness!E4</f>
        <v>1</v>
      </c>
      <c r="AF15" s="10">
        <f>Completeness_Qwen!F43/Diagramme_Completness!F4</f>
        <v>1</v>
      </c>
      <c r="AG15" s="10">
        <f>Completeness_Qwen!G43/Diagramme_Completness!G4</f>
        <v>1</v>
      </c>
      <c r="AH15" s="10">
        <f>Completeness_Qwen!H43/Diagramme_Completness!H4</f>
        <v>1</v>
      </c>
      <c r="AI15" s="10">
        <f>Completeness_Qwen!I43/Diagramme_Completness!I4</f>
        <v>1</v>
      </c>
      <c r="AJ15" s="10"/>
      <c r="AL15" t="s">
        <v>8</v>
      </c>
      <c r="AM15" s="10">
        <f>Completeness_Qwen!K17/Diagramme_Completness!J4</f>
        <v>1</v>
      </c>
      <c r="AN15" s="10">
        <f>Completeness_Qwen!L17/Diagramme_Completness!K4</f>
        <v>1</v>
      </c>
      <c r="AQ15" t="s">
        <v>8</v>
      </c>
      <c r="AR15" s="10">
        <f>Completeness_Qwen!K43/Diagramme_Completness!J4</f>
        <v>1</v>
      </c>
      <c r="AS15" s="10">
        <f>Completeness_Qwen!L43/Diagramme_Completness!K4</f>
        <v>1</v>
      </c>
    </row>
    <row r="16" spans="1:50">
      <c r="O16" t="s">
        <v>9</v>
      </c>
      <c r="P16" s="10">
        <f>Completeness_Qwen!B18/Diagramme_Completness!B5</f>
        <v>0.83333333333333337</v>
      </c>
      <c r="Q16" s="10">
        <f>Completeness_Qwen!C18/Diagramme_Completness!C5</f>
        <v>1</v>
      </c>
      <c r="R16" s="10">
        <f>Completeness_Qwen!D18/Diagramme_Completness!D5</f>
        <v>0.875</v>
      </c>
      <c r="S16" s="10">
        <f>Completeness_Qwen!E18/Diagramme_Completness!E5</f>
        <v>1</v>
      </c>
      <c r="T16" s="10">
        <f>Completeness_Qwen!F18/Diagramme_Completness!F5</f>
        <v>0.93333333333333335</v>
      </c>
      <c r="U16" s="10">
        <f>Completeness_Qwen!G18/Diagramme_Completness!G5</f>
        <v>0.91666666666666663</v>
      </c>
      <c r="V16" s="10">
        <f>Completeness_Qwen!H18/Diagramme_Completness!H5</f>
        <v>0.96551724137931039</v>
      </c>
      <c r="W16" s="10">
        <f>Completeness_Qwen!I18/Diagramme_Completness!I5</f>
        <v>0.95833333333333337</v>
      </c>
      <c r="AA16" t="s">
        <v>9</v>
      </c>
      <c r="AB16" s="10">
        <f>Completeness_Qwen!B44/Diagramme_Completness!B5</f>
        <v>0.83333333333333337</v>
      </c>
      <c r="AC16" s="10">
        <f>Completeness_Qwen!C44/Diagramme_Completness!C5</f>
        <v>1</v>
      </c>
      <c r="AD16" s="10">
        <f>Completeness_Qwen!D44/Diagramme_Completness!D5</f>
        <v>0.875</v>
      </c>
      <c r="AE16" s="10">
        <f>Completeness_Qwen!E44/Diagramme_Completness!E5</f>
        <v>1</v>
      </c>
      <c r="AF16" s="10">
        <f>Completeness_Qwen!F44/Diagramme_Completness!F5</f>
        <v>0.93333333333333335</v>
      </c>
      <c r="AG16" s="10">
        <f>Completeness_Qwen!G44/Diagramme_Completness!G5</f>
        <v>1</v>
      </c>
      <c r="AH16" s="10">
        <f>Completeness_Qwen!H44/Diagramme_Completness!H5</f>
        <v>0.89655172413793105</v>
      </c>
      <c r="AI16" s="10">
        <f>Completeness_Qwen!I44/Diagramme_Completness!I5</f>
        <v>0.91666666666666663</v>
      </c>
      <c r="AJ16" s="10"/>
      <c r="AL16" t="s">
        <v>9</v>
      </c>
      <c r="AM16" s="10">
        <f>Completeness_Qwen!K18/Diagramme_Completness!J5</f>
        <v>0.93103448275862066</v>
      </c>
      <c r="AN16" s="10">
        <f>Completeness_Qwen!L18/Diagramme_Completness!K5</f>
        <v>0.95652173913043481</v>
      </c>
      <c r="AQ16" t="s">
        <v>9</v>
      </c>
      <c r="AR16" s="10">
        <f>Completeness_Qwen!K44/Diagramme_Completness!J5</f>
        <v>0.89655172413793105</v>
      </c>
      <c r="AS16" s="10">
        <f>Completeness_Qwen!L44/Diagramme_Completness!K5</f>
        <v>0.95652173913043481</v>
      </c>
    </row>
    <row r="17" spans="15:50">
      <c r="O17" t="s">
        <v>10</v>
      </c>
      <c r="P17" s="10">
        <f>Completeness_Qwen!B19/Diagramme_Completness!B6</f>
        <v>1</v>
      </c>
      <c r="Q17" s="10">
        <v>1</v>
      </c>
      <c r="R17" s="10">
        <f>Completeness_Qwen!D19/Diagramme_Completness!D6</f>
        <v>1</v>
      </c>
      <c r="S17" s="10">
        <f>Completeness_Qwen!E19/Diagramme_Completness!E6</f>
        <v>1</v>
      </c>
      <c r="T17" s="10">
        <f>Completeness_Qwen!F19/Diagramme_Completness!F6</f>
        <v>1</v>
      </c>
      <c r="U17" s="10">
        <f>Completeness_Qwen!G19/Diagramme_Completness!G6</f>
        <v>1</v>
      </c>
      <c r="V17" s="10">
        <f>Completeness_Qwen!H19/Diagramme_Completness!H6</f>
        <v>0.96551724137931039</v>
      </c>
      <c r="W17" s="10">
        <f>Completeness_Qwen!I19/Diagramme_Completness!I6</f>
        <v>0.9375</v>
      </c>
      <c r="AA17" t="s">
        <v>10</v>
      </c>
      <c r="AB17" s="10">
        <f>Completeness_Qwen!B45/Diagramme_Completness!B6</f>
        <v>1</v>
      </c>
      <c r="AC17" s="10">
        <v>1</v>
      </c>
      <c r="AD17" s="10">
        <f>Completeness_Qwen!D45/Diagramme_Completness!D6</f>
        <v>0.88888888888888884</v>
      </c>
      <c r="AE17" s="10">
        <f>Completeness_Qwen!E45/Diagramme_Completness!E6</f>
        <v>1</v>
      </c>
      <c r="AF17" s="10">
        <f>Completeness_Qwen!F45/Diagramme_Completness!F6</f>
        <v>1</v>
      </c>
      <c r="AG17" s="10">
        <f>Completeness_Qwen!G45/Diagramme_Completness!G6</f>
        <v>1</v>
      </c>
      <c r="AH17" s="10">
        <f>Completeness_Qwen!H45/Diagramme_Completness!H6</f>
        <v>1</v>
      </c>
      <c r="AI17" s="10">
        <f>Completeness_Qwen!I45/Diagramme_Completness!I6</f>
        <v>1</v>
      </c>
      <c r="AJ17" s="10"/>
      <c r="AL17" t="s">
        <v>10</v>
      </c>
      <c r="AM17" s="10">
        <f>Completeness_Qwen!K19/Diagramme_Completness!J6</f>
        <v>0.98360655737704916</v>
      </c>
      <c r="AN17" s="10">
        <f>Completeness_Qwen!L19/Diagramme_Completness!K6</f>
        <v>0.96153846153846156</v>
      </c>
      <c r="AQ17" t="s">
        <v>10</v>
      </c>
      <c r="AR17" s="10">
        <f>Completeness_Qwen!K45/Diagramme_Completness!J6</f>
        <v>0.98360655737704916</v>
      </c>
      <c r="AS17" s="10">
        <f>Completeness_Qwen!L45/Diagramme_Completness!K6</f>
        <v>1</v>
      </c>
    </row>
    <row r="18" spans="15:50">
      <c r="O18" t="s">
        <v>11</v>
      </c>
      <c r="P18" s="10">
        <f>Completeness_Qwen!B20/Diagramme_Completness!B7</f>
        <v>1</v>
      </c>
      <c r="Q18" s="10">
        <f>Completeness_Qwen!C20/Diagramme_Completness!C7</f>
        <v>1</v>
      </c>
      <c r="R18" s="10">
        <f>Completeness_Qwen!D20/Diagramme_Completness!D7</f>
        <v>1</v>
      </c>
      <c r="S18" s="10">
        <f>Completeness_Qwen!E20/Diagramme_Completness!E7</f>
        <v>1</v>
      </c>
      <c r="T18" s="10">
        <f>Completeness_Qwen!F20/Diagramme_Completness!F7</f>
        <v>1</v>
      </c>
      <c r="U18" s="10">
        <f>Completeness_Qwen!G20/Diagramme_Completness!G7</f>
        <v>1</v>
      </c>
      <c r="V18" s="10">
        <f>Completeness_Qwen!H20/Diagramme_Completness!H7</f>
        <v>1</v>
      </c>
      <c r="W18" s="10">
        <f>Completeness_Qwen!I20/Diagramme_Completness!I7</f>
        <v>1</v>
      </c>
      <c r="AA18" t="s">
        <v>11</v>
      </c>
      <c r="AB18" s="10">
        <f>Completeness_Qwen!B46/Diagramme_Completness!B7</f>
        <v>1</v>
      </c>
      <c r="AC18" s="10">
        <f>Completeness_Qwen!C46/Diagramme_Completness!C7</f>
        <v>1</v>
      </c>
      <c r="AD18" s="10">
        <f>Completeness_Qwen!D46/Diagramme_Completness!D7</f>
        <v>1</v>
      </c>
      <c r="AE18" s="10">
        <f>Completeness_Qwen!E46/Diagramme_Completness!E7</f>
        <v>1</v>
      </c>
      <c r="AF18" s="10">
        <f>Completeness_Qwen!F46/Diagramme_Completness!F7</f>
        <v>1</v>
      </c>
      <c r="AG18" s="10">
        <f>Completeness_Qwen!G46/Diagramme_Completness!G7</f>
        <v>0.625</v>
      </c>
      <c r="AH18" s="10">
        <f>Completeness_Qwen!H46/Diagramme_Completness!H7</f>
        <v>0.92307692307692313</v>
      </c>
      <c r="AI18" s="10">
        <f>Completeness_Qwen!I46/Diagramme_Completness!I7</f>
        <v>0.5</v>
      </c>
      <c r="AJ18" s="10"/>
      <c r="AL18" t="s">
        <v>11</v>
      </c>
      <c r="AM18" s="10">
        <f>Completeness_Qwen!K20/Diagramme_Completness!J7</f>
        <v>1</v>
      </c>
      <c r="AN18" s="10">
        <f>Completeness_Qwen!L20/Diagramme_Completness!K7</f>
        <v>1</v>
      </c>
      <c r="AQ18" t="s">
        <v>11</v>
      </c>
      <c r="AR18" s="10">
        <f>Completeness_Qwen!K46/Diagramme_Completness!J7</f>
        <v>0.9642857142857143</v>
      </c>
      <c r="AS18" s="10">
        <f>Completeness_Qwen!L46/Diagramme_Completness!K7</f>
        <v>0.625</v>
      </c>
    </row>
    <row r="19" spans="15:50">
      <c r="O19" t="s">
        <v>12</v>
      </c>
      <c r="P19" s="10">
        <f>Completeness_Qwen!B21/Diagramme_Completness!B8</f>
        <v>1</v>
      </c>
      <c r="Q19" s="10">
        <f>Completeness_Qwen!C21/Diagramme_Completness!C8</f>
        <v>1</v>
      </c>
      <c r="R19" s="10">
        <f>Completeness_Qwen!D21/Diagramme_Completness!D8</f>
        <v>1</v>
      </c>
      <c r="S19" s="10">
        <f>Completeness_Qwen!E21/Diagramme_Completness!E8</f>
        <v>1</v>
      </c>
      <c r="T19" s="10">
        <f>Completeness_Qwen!F21/Diagramme_Completness!F8</f>
        <v>1</v>
      </c>
      <c r="U19" s="10">
        <f>Completeness_Qwen!G21/Diagramme_Completness!G8</f>
        <v>1</v>
      </c>
      <c r="V19" s="10">
        <f>Completeness_Qwen!H21/Diagramme_Completness!H8</f>
        <v>0.7857142857142857</v>
      </c>
      <c r="W19" s="10">
        <f>Completeness_Qwen!I21/Diagramme_Completness!I8</f>
        <v>0.5</v>
      </c>
      <c r="AA19" t="s">
        <v>12</v>
      </c>
      <c r="AB19" s="10">
        <f>Completeness_Qwen!B47/Diagramme_Completness!B8</f>
        <v>1</v>
      </c>
      <c r="AC19" s="10">
        <f>Completeness_Qwen!C47/Diagramme_Completness!C8</f>
        <v>1</v>
      </c>
      <c r="AD19" s="10">
        <f>Completeness_Qwen!D47/Diagramme_Completness!D8</f>
        <v>1</v>
      </c>
      <c r="AE19" s="10">
        <f>Completeness_Qwen!E47/Diagramme_Completness!E8</f>
        <v>1</v>
      </c>
      <c r="AF19" s="10">
        <f>Completeness_Qwen!F47/Diagramme_Completness!F8</f>
        <v>0.90909090909090906</v>
      </c>
      <c r="AG19" s="10">
        <f>Completeness_Qwen!G47/Diagramme_Completness!G8</f>
        <v>0.88888888888888884</v>
      </c>
      <c r="AH19" s="10">
        <f>Completeness_Qwen!H47/Diagramme_Completness!H8</f>
        <v>0.7857142857142857</v>
      </c>
      <c r="AI19" s="10">
        <f>Completeness_Qwen!I47/Diagramme_Completness!I8</f>
        <v>0.5</v>
      </c>
      <c r="AJ19" s="10"/>
      <c r="AL19" t="s">
        <v>12</v>
      </c>
      <c r="AM19" s="10">
        <f>Completeness_Qwen!K21/Diagramme_Completness!J8</f>
        <v>0.91666666666666663</v>
      </c>
      <c r="AN19" s="10">
        <f>Completeness_Qwen!L21/Diagramme_Completness!K8</f>
        <v>0.8</v>
      </c>
      <c r="AQ19" t="s">
        <v>12</v>
      </c>
      <c r="AR19" s="10">
        <f>Completeness_Qwen!K47/Diagramme_Completness!J8</f>
        <v>0.88888888888888884</v>
      </c>
      <c r="AS19" s="10">
        <f>Completeness_Qwen!L47/Diagramme_Completness!K8</f>
        <v>0.76666666666666672</v>
      </c>
    </row>
    <row r="20" spans="15:50">
      <c r="O20" t="s">
        <v>13</v>
      </c>
      <c r="P20" s="10">
        <f>Completeness_Qwen!B22/Diagramme_Completness!B9</f>
        <v>1</v>
      </c>
      <c r="Q20" s="10">
        <f>Completeness_Qwen!C22/Diagramme_Completness!C9</f>
        <v>1</v>
      </c>
      <c r="R20" s="10">
        <f>Completeness_Qwen!D22/Diagramme_Completness!D9</f>
        <v>1</v>
      </c>
      <c r="S20" s="10">
        <f>Completeness_Qwen!E22/Diagramme_Completness!E9</f>
        <v>1</v>
      </c>
      <c r="T20" s="10">
        <f>Completeness_Qwen!F22/Diagramme_Completness!F9</f>
        <v>1</v>
      </c>
      <c r="U20" s="10">
        <f>Completeness_Qwen!G22/Diagramme_Completness!G9</f>
        <v>0.75</v>
      </c>
      <c r="V20" s="10">
        <f>Completeness_Qwen!H22/Diagramme_Completness!H9</f>
        <v>1</v>
      </c>
      <c r="W20" s="10">
        <f>Completeness_Qwen!I22/Diagramme_Completness!I9</f>
        <v>0.6</v>
      </c>
      <c r="AA20" t="s">
        <v>13</v>
      </c>
      <c r="AB20" s="10">
        <f>Completeness_Qwen!B48/Diagramme_Completness!B9</f>
        <v>1</v>
      </c>
      <c r="AC20" s="10">
        <f>Completeness_Qwen!C48/Diagramme_Completness!C9</f>
        <v>1</v>
      </c>
      <c r="AD20" s="10">
        <f>Completeness_Qwen!D48/Diagramme_Completness!D9</f>
        <v>1</v>
      </c>
      <c r="AE20" s="10">
        <f>Completeness_Qwen!E48/Diagramme_Completness!E9</f>
        <v>1</v>
      </c>
      <c r="AF20" s="10">
        <f>Completeness_Qwen!F48/Diagramme_Completness!F9</f>
        <v>1</v>
      </c>
      <c r="AG20" s="10">
        <f>Completeness_Qwen!G48/Diagramme_Completness!G9</f>
        <v>0.75</v>
      </c>
      <c r="AH20" s="10">
        <f>Completeness_Qwen!H48/Diagramme_Completness!H9</f>
        <v>1</v>
      </c>
      <c r="AI20" s="10">
        <f>Completeness_Qwen!I48/Diagramme_Completness!I9</f>
        <v>0.6</v>
      </c>
      <c r="AJ20" s="10"/>
      <c r="AL20" t="s">
        <v>13</v>
      </c>
      <c r="AM20" s="10">
        <f>Completeness_Qwen!K22/Diagramme_Completness!J9</f>
        <v>1</v>
      </c>
      <c r="AN20" s="10">
        <f>Completeness_Qwen!L22/Diagramme_Completness!K9</f>
        <v>0.73913043478260865</v>
      </c>
      <c r="AQ20" t="s">
        <v>13</v>
      </c>
      <c r="AR20" s="10">
        <f>Completeness_Qwen!K48/Diagramme_Completness!J9</f>
        <v>1</v>
      </c>
      <c r="AS20" s="10">
        <f>Completeness_Qwen!L48/Diagramme_Completness!K9</f>
        <v>0.73913043478260865</v>
      </c>
    </row>
    <row r="21" spans="15:50">
      <c r="AL21" t="s">
        <v>19</v>
      </c>
      <c r="AM21" s="10">
        <f>SUM(Completeness_Qwen!K17:K22)/Diagramme_Completness!J10</f>
        <v>0.96610169491525422</v>
      </c>
      <c r="AN21" s="10">
        <f>SUM(Completeness_Qwen!L17:L22)/Diagramme_Completness!K10</f>
        <v>0.91176470588235292</v>
      </c>
      <c r="AQ21" t="s">
        <v>19</v>
      </c>
      <c r="AR21" s="10">
        <f>SUM(Completeness_Qwen!K43:K48)/Diagramme_Completness!J10</f>
        <v>0.94915254237288138</v>
      </c>
      <c r="AS21" s="10">
        <f>SUM(Completeness_Qwen!L43:L48)/Diagramme_Completness!K10</f>
        <v>0.85882352941176465</v>
      </c>
    </row>
    <row r="23" spans="15:50">
      <c r="AV23" t="s">
        <v>19</v>
      </c>
      <c r="AW23">
        <f>(SUM([1]Completeness_Gemma!K4:K9)+SUM([1]Completeness_Gemma!K17:K22)+SUM([1]Completeness_Gemma!K30:K35)+SUM([1]Completeness_Gemma!K43:K48))/(J10*4)</f>
        <v>0.78283898305084743</v>
      </c>
      <c r="AX23">
        <f>(SUM([1]Completeness_Gemma!L4:L9)+SUM([1]Completeness_Gemma!L17:L22)+SUM([1]Completeness_Gemma!L30:L35)+SUM([1]Completeness_Gemma!L43:L48))/(K10*4)</f>
        <v>0.68823529411764706</v>
      </c>
    </row>
    <row r="24" spans="15:50">
      <c r="AL24" t="s">
        <v>19</v>
      </c>
      <c r="AM24" s="10">
        <f>(SUM(Completeness_Qwen!K4:K9)+SUM(Completeness_Qwen!K17:K22)+SUM(Completeness_Qwen!K30:K35)+SUM(Completeness_Qwen!K43:K48))/(J10*4)</f>
        <v>0.9396186440677966</v>
      </c>
      <c r="AN24" s="10">
        <f>(SUM(Completeness_Qwen!L4:L9)+SUM(Completeness_Qwen!L17:L22)+SUM(Completeness_Qwen!L30:L35)+SUM(Completeness_Qwen!L43:L48))/(K10*4)</f>
        <v>0.83970588235294119</v>
      </c>
    </row>
    <row r="25" spans="15:50">
      <c r="AV25" t="s">
        <v>51</v>
      </c>
      <c r="AW25" s="10">
        <f>(SUM([1]Completeness_OpenAI!K4:K9)+SUM([1]Completeness_OpenAI!K17:K22)+SUM([1]Completeness_Gemini!K4:K9)+SUM([1]Completeness_Gemini!K17:K22))/(J10*4)</f>
        <v>0.95656779661016944</v>
      </c>
      <c r="AX25" s="10">
        <f>(SUM([1]Completeness_OpenAI!L4:L9)+SUM([1]Completeness_OpenAI!L17:L22)+SUM([1]Completeness_Gemini!L4:L9)+SUM([1]Completeness_Gemini!L17:L22))/(K10*4)</f>
        <v>0.93970588235294117</v>
      </c>
    </row>
    <row r="26" spans="15:50">
      <c r="AL26" t="s">
        <v>51</v>
      </c>
      <c r="AM26" s="10">
        <f>(SUM(Completeness_Qwen!K4:K9)+SUM(Completeness_Qwen!K17:K22))/(J10*2)</f>
        <v>0.97245762711864403</v>
      </c>
      <c r="AN26" s="10">
        <f>(SUM(Completeness_Qwen!L4:L9)+SUM(Completeness_Qwen!L17:L22))/(K10*2)</f>
        <v>0.9088235294117647</v>
      </c>
      <c r="AV26" t="s">
        <v>52</v>
      </c>
      <c r="AW26" s="10">
        <f>(SUM([1]Completeness_OpenAI!K30:K35)+SUM([1]Completeness_OpenAI!K43:K48)+SUM([1]Completeness_Gemini!K30:K35)+SUM([1]Completeness_Gemini!K43:K48))/(J10*4)</f>
        <v>0.94597457627118642</v>
      </c>
      <c r="AX26" s="10">
        <f>(SUM([1]Completeness_OpenAI!L30:L35)+SUM([1]Completeness_OpenAI!L43:L48)+SUM([1]Completeness_Gemini!L30:L35)+SUM([1]Completeness_Gemini!L43:L48))/(K10*4)</f>
        <v>0.91470588235294115</v>
      </c>
    </row>
    <row r="27" spans="15:50">
      <c r="AL27" t="s">
        <v>52</v>
      </c>
      <c r="AM27" s="10">
        <f>(SUM(Completeness_Qwen!K30:K35)+SUM(Completeness_Qwen!K43:K48))/(J10*2)</f>
        <v>0.90677966101694918</v>
      </c>
      <c r="AN27" s="10">
        <f>(SUM(Completeness_Qwen!L30:L35)+SUM(Completeness_Qwen!L43:L48))/(K10*2)</f>
        <v>0.77058823529411768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2133-51B4-43C3-A653-3B1E62A510CE}">
  <dimension ref="B1:U17"/>
  <sheetViews>
    <sheetView zoomScaleNormal="100" workbookViewId="0">
      <selection activeCell="K12" sqref="K12"/>
    </sheetView>
  </sheetViews>
  <sheetFormatPr baseColWidth="10" defaultRowHeight="14.5"/>
  <cols>
    <col min="2" max="2" width="18" customWidth="1"/>
  </cols>
  <sheetData>
    <row r="1" spans="2:21">
      <c r="B1" s="9" t="s">
        <v>57</v>
      </c>
      <c r="N1" s="9" t="s">
        <v>69</v>
      </c>
    </row>
    <row r="3" spans="2:21">
      <c r="B3" t="s">
        <v>34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N3" t="s">
        <v>34</v>
      </c>
      <c r="O3" t="s">
        <v>1</v>
      </c>
      <c r="P3" t="s">
        <v>2</v>
      </c>
      <c r="Q3" t="s">
        <v>3</v>
      </c>
      <c r="R3" t="s">
        <v>4</v>
      </c>
      <c r="S3" t="s">
        <v>5</v>
      </c>
      <c r="T3" t="s">
        <v>6</v>
      </c>
      <c r="U3" t="s">
        <v>7</v>
      </c>
    </row>
    <row r="4" spans="2:21">
      <c r="B4" t="s">
        <v>8</v>
      </c>
      <c r="C4">
        <f>Quality_Qwen!B4</f>
        <v>5</v>
      </c>
      <c r="D4">
        <f>Quality_Qwen!C4</f>
        <v>5</v>
      </c>
      <c r="E4">
        <f>Quality_Qwen!D4</f>
        <v>4</v>
      </c>
      <c r="G4">
        <f>Quality_Qwen!F4</f>
        <v>4</v>
      </c>
      <c r="K4">
        <f>Quality_Qwen!J4</f>
        <v>4.5</v>
      </c>
      <c r="N4" t="s">
        <v>8</v>
      </c>
    </row>
    <row r="5" spans="2:21">
      <c r="B5" t="s">
        <v>9</v>
      </c>
      <c r="C5">
        <f>Quality_Qwen!B5</f>
        <v>3</v>
      </c>
      <c r="D5">
        <f>Quality_Qwen!C5</f>
        <v>3</v>
      </c>
      <c r="E5">
        <f>Quality_Qwen!D5</f>
        <v>3</v>
      </c>
      <c r="F5">
        <f>Quality_Qwen!E5</f>
        <v>2</v>
      </c>
      <c r="G5">
        <f>Quality_Qwen!F5</f>
        <v>3</v>
      </c>
      <c r="H5">
        <f>Quality_Qwen!G5</f>
        <v>2</v>
      </c>
      <c r="I5">
        <f>Quality_Qwen!H5</f>
        <v>4</v>
      </c>
      <c r="K5">
        <f>Quality_Qwen!J5</f>
        <v>2.8571428571428572</v>
      </c>
      <c r="N5" t="s">
        <v>9</v>
      </c>
    </row>
    <row r="6" spans="2:21">
      <c r="B6" t="s">
        <v>10</v>
      </c>
      <c r="C6">
        <f>Quality_Qwen!B6</f>
        <v>5</v>
      </c>
      <c r="D6">
        <f>Quality_Qwen!C6</f>
        <v>5</v>
      </c>
      <c r="E6">
        <f>Quality_Qwen!D6</f>
        <v>3</v>
      </c>
      <c r="G6">
        <f>Quality_Qwen!F6</f>
        <v>3</v>
      </c>
      <c r="K6">
        <f>Quality_Qwen!J6</f>
        <v>4</v>
      </c>
      <c r="N6" t="s">
        <v>10</v>
      </c>
    </row>
    <row r="7" spans="2:21">
      <c r="B7" t="s">
        <v>11</v>
      </c>
      <c r="C7">
        <f>Quality_Qwen!B7</f>
        <v>5</v>
      </c>
      <c r="D7">
        <f>Quality_Qwen!C7</f>
        <v>5</v>
      </c>
      <c r="E7">
        <f>Quality_Qwen!D7</f>
        <v>3</v>
      </c>
      <c r="G7">
        <f>Quality_Qwen!F7</f>
        <v>4</v>
      </c>
      <c r="K7">
        <f>Quality_Qwen!J7</f>
        <v>4.25</v>
      </c>
      <c r="N7" t="s">
        <v>11</v>
      </c>
    </row>
    <row r="8" spans="2:21">
      <c r="B8" t="s">
        <v>12</v>
      </c>
      <c r="C8">
        <f>Quality_Qwen!B8</f>
        <v>5</v>
      </c>
      <c r="D8">
        <f>Quality_Qwen!C8</f>
        <v>3</v>
      </c>
      <c r="E8">
        <f>Quality_Qwen!D8</f>
        <v>3</v>
      </c>
      <c r="G8">
        <f>Quality_Qwen!F8</f>
        <v>3</v>
      </c>
      <c r="K8">
        <f>Quality_Qwen!J8</f>
        <v>3.5</v>
      </c>
      <c r="N8" t="s">
        <v>12</v>
      </c>
    </row>
    <row r="9" spans="2:21">
      <c r="B9" t="s">
        <v>13</v>
      </c>
      <c r="C9">
        <f>Quality_Qwen!B9</f>
        <v>4</v>
      </c>
      <c r="D9">
        <f>Quality_Qwen!C9</f>
        <v>5</v>
      </c>
      <c r="E9">
        <f>Quality_Qwen!D9</f>
        <v>3</v>
      </c>
      <c r="G9">
        <f>Quality_Qwen!F9</f>
        <v>2</v>
      </c>
      <c r="K9">
        <f>Quality_Qwen!J9</f>
        <v>3.5</v>
      </c>
      <c r="N9" t="s">
        <v>13</v>
      </c>
    </row>
    <row r="11" spans="2:21">
      <c r="B11" t="s">
        <v>58</v>
      </c>
      <c r="C11">
        <f>Quality_Qwen!B11</f>
        <v>4.5</v>
      </c>
      <c r="D11">
        <f>Quality_Qwen!C11</f>
        <v>4.333333333333333</v>
      </c>
      <c r="E11">
        <f>Quality_Qwen!D11</f>
        <v>3.1666666666666665</v>
      </c>
      <c r="F11">
        <f>Quality_Qwen!E11</f>
        <v>2</v>
      </c>
      <c r="G11">
        <f>Quality_Qwen!F11</f>
        <v>3.1666666666666665</v>
      </c>
      <c r="H11">
        <f>Quality_Qwen!G11</f>
        <v>2</v>
      </c>
      <c r="I11">
        <f>Quality_Qwen!H11</f>
        <v>4</v>
      </c>
      <c r="K11">
        <f>Quality_Qwen!J11</f>
        <v>0</v>
      </c>
      <c r="N11" t="s">
        <v>58</v>
      </c>
    </row>
    <row r="12" spans="2:21">
      <c r="E12">
        <v>7</v>
      </c>
      <c r="F12">
        <v>8</v>
      </c>
    </row>
    <row r="13" spans="2:21">
      <c r="C13" t="s">
        <v>1</v>
      </c>
      <c r="D13" t="s">
        <v>2</v>
      </c>
      <c r="E13" t="s">
        <v>17</v>
      </c>
      <c r="F13" t="s">
        <v>18</v>
      </c>
    </row>
    <row r="14" spans="2:21">
      <c r="B14" t="s">
        <v>63</v>
      </c>
      <c r="C14" s="13">
        <f>SUM(Quality_Qwen!B4:B9)/6</f>
        <v>4.5</v>
      </c>
      <c r="D14" s="13">
        <f>SUM(Quality_Qwen!C4:C9)/6</f>
        <v>4.333333333333333</v>
      </c>
      <c r="E14" s="13">
        <f>SUM(Quality_Qwen!D4:E9)/7</f>
        <v>3</v>
      </c>
      <c r="F14" s="13">
        <f>SUM(Quality_Qwen!F4:H9)/8</f>
        <v>3.125</v>
      </c>
    </row>
    <row r="15" spans="2:21">
      <c r="B15" t="s">
        <v>64</v>
      </c>
      <c r="C15" s="13">
        <f>SUM(Quality_Qwen!B17:B22)/6</f>
        <v>4.333333333333333</v>
      </c>
      <c r="D15" s="13">
        <f>SUM(Quality_Qwen!C17:C22)/6</f>
        <v>4</v>
      </c>
      <c r="E15" s="13">
        <f>SUM(Quality_Qwen!D17:E22)/7</f>
        <v>3.8571428571428572</v>
      </c>
      <c r="F15" s="13">
        <f>SUM(Quality_Qwen!F17:H22)/8</f>
        <v>3.25</v>
      </c>
    </row>
    <row r="16" spans="2:21">
      <c r="B16" t="s">
        <v>65</v>
      </c>
      <c r="C16" s="13">
        <f>SUM(Quality_Qwen!B30:B35)/6</f>
        <v>4.666666666666667</v>
      </c>
      <c r="D16" s="13">
        <f>SUM(Quality_Qwen!C30:C35)/6</f>
        <v>3.3333333333333335</v>
      </c>
      <c r="E16" s="13">
        <f>SUM(Quality_Qwen!D30:E35)/7</f>
        <v>2.8571428571428572</v>
      </c>
      <c r="F16" s="13">
        <f>SUM(Quality_Qwen!F30:H35)/8</f>
        <v>2.25</v>
      </c>
    </row>
    <row r="17" spans="2:6">
      <c r="B17" t="s">
        <v>66</v>
      </c>
      <c r="C17" s="13">
        <f>SUM(Quality_Qwen!B43:B48)/6</f>
        <v>4.666666666666667</v>
      </c>
      <c r="D17" s="13">
        <f>SUM(Quality_Qwen!C43:C48)/6</f>
        <v>3.8333333333333335</v>
      </c>
      <c r="E17" s="13">
        <f>SUM(Quality_Qwen!D43:E48)/7</f>
        <v>3.7142857142857144</v>
      </c>
      <c r="F17" s="13">
        <f>SUM(Quality_Qwen!F43:H48)/8</f>
        <v>3.5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3A5C-363C-4CD6-BE67-2C69EFDA5EE3}">
  <dimension ref="A1"/>
  <sheetViews>
    <sheetView workbookViewId="0">
      <selection activeCell="L16" sqref="L16"/>
    </sheetView>
  </sheetViews>
  <sheetFormatPr baseColWidth="10" defaultColWidth="11.453125" defaultRowHeight="14.5"/>
  <sheetData/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3"/>
  <sheetViews>
    <sheetView zoomScale="130" zoomScaleNormal="130" workbookViewId="0">
      <selection activeCell="L6" sqref="L6"/>
    </sheetView>
  </sheetViews>
  <sheetFormatPr baseColWidth="10" defaultColWidth="11.54296875" defaultRowHeight="13.9" customHeight="1"/>
  <cols>
    <col min="1" max="9" width="10.453125" customWidth="1"/>
    <col min="10" max="10" width="11.453125" style="1" customWidth="1"/>
    <col min="11" max="16" width="10.453125" customWidth="1"/>
  </cols>
  <sheetData>
    <row r="1" spans="1:17" ht="13.9" customHeight="1">
      <c r="A1" t="s">
        <v>0</v>
      </c>
    </row>
    <row r="3" spans="1:17" ht="13.9" customHeight="1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M3" t="s">
        <v>1</v>
      </c>
      <c r="N3" t="s">
        <v>2</v>
      </c>
      <c r="O3" t="s">
        <v>17</v>
      </c>
      <c r="P3" t="s">
        <v>18</v>
      </c>
      <c r="Q3" t="s">
        <v>19</v>
      </c>
    </row>
    <row r="4" spans="1:17" ht="13.9" customHeight="1">
      <c r="A4" s="3" t="s">
        <v>8</v>
      </c>
      <c r="B4" s="2">
        <v>3</v>
      </c>
      <c r="C4" s="2">
        <v>3</v>
      </c>
      <c r="D4" s="2">
        <v>3</v>
      </c>
      <c r="F4" s="2">
        <v>1</v>
      </c>
      <c r="J4" s="1">
        <f>SUM(B4:H4)/12</f>
        <v>0.83333333333333337</v>
      </c>
      <c r="L4" t="s">
        <v>70</v>
      </c>
      <c r="M4">
        <f>(SUM(B4:B9)+SUM(B30:B35))/36</f>
        <v>0.91666666666666663</v>
      </c>
      <c r="N4">
        <f>(SUM(C4:C9)+SUM(C30:C35))/36</f>
        <v>0.86111111111111116</v>
      </c>
      <c r="O4">
        <f>(SUM(D4:E9)+SUM(D30:E35))/42</f>
        <v>0.90476190476190477</v>
      </c>
      <c r="P4">
        <f>(SUM(F4:H9)+SUM(F30:H35))/48</f>
        <v>0.77083333333333337</v>
      </c>
      <c r="Q4">
        <f>(SUM(B4:H9)+SUM(B30:H35))/162</f>
        <v>0.85802469135802473</v>
      </c>
    </row>
    <row r="5" spans="1:17" ht="13.9" customHeight="1">
      <c r="A5" s="3" t="s">
        <v>9</v>
      </c>
      <c r="B5" s="2">
        <v>3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J5" s="1">
        <f>SUM(B5:H5)/21</f>
        <v>1</v>
      </c>
      <c r="L5" t="s">
        <v>71</v>
      </c>
      <c r="M5">
        <f>(SUM(B17:B22)+SUM(B43:B48))/36</f>
        <v>1</v>
      </c>
      <c r="N5">
        <f>(SUM(C17:C22)+SUM(C43:C48))/36</f>
        <v>1</v>
      </c>
      <c r="O5">
        <f>(SUM(D17:E22)+SUM(D43:E48))/42</f>
        <v>0.95238095238095233</v>
      </c>
      <c r="P5">
        <f>(SUM(F17:H22)+SUM(F43:H48))/48</f>
        <v>0.9375</v>
      </c>
      <c r="Q5">
        <f>(SUM(B17:H22)+SUM(B43:H48))/162</f>
        <v>0.96913580246913578</v>
      </c>
    </row>
    <row r="6" spans="1:17" ht="13.9" customHeight="1">
      <c r="A6" s="3" t="s">
        <v>10</v>
      </c>
      <c r="B6" s="2">
        <v>3</v>
      </c>
      <c r="C6" s="2">
        <v>3</v>
      </c>
      <c r="D6" s="2">
        <v>3</v>
      </c>
      <c r="F6" s="2">
        <v>2</v>
      </c>
      <c r="J6" s="1">
        <f>SUM(B6:H6)/12</f>
        <v>0.91666666666666663</v>
      </c>
    </row>
    <row r="7" spans="1:17" ht="13.9" customHeight="1">
      <c r="A7" t="s">
        <v>11</v>
      </c>
      <c r="B7" s="4">
        <v>2</v>
      </c>
      <c r="C7" s="4">
        <v>2</v>
      </c>
      <c r="D7" s="4">
        <v>2</v>
      </c>
      <c r="E7" s="4"/>
      <c r="F7" s="4">
        <v>3</v>
      </c>
      <c r="J7" s="1">
        <f>SUM(B7:H7)/12</f>
        <v>0.75</v>
      </c>
    </row>
    <row r="8" spans="1:17" ht="13.9" customHeight="1">
      <c r="A8" t="s">
        <v>12</v>
      </c>
      <c r="B8" s="4">
        <v>3</v>
      </c>
      <c r="C8" s="4">
        <v>3</v>
      </c>
      <c r="D8" s="4">
        <v>3</v>
      </c>
      <c r="E8" s="4"/>
      <c r="F8" s="4">
        <v>3</v>
      </c>
      <c r="J8" s="1">
        <f>SUM(B8:H8)/12</f>
        <v>1</v>
      </c>
    </row>
    <row r="9" spans="1:17" ht="13.9" customHeight="1">
      <c r="A9" t="s">
        <v>13</v>
      </c>
      <c r="B9" s="4">
        <v>3</v>
      </c>
      <c r="C9" s="4">
        <v>3</v>
      </c>
      <c r="D9" s="4">
        <v>3</v>
      </c>
      <c r="E9" s="4"/>
      <c r="F9" s="4">
        <v>2</v>
      </c>
      <c r="J9" s="1">
        <f>SUM(B9:H9)/12</f>
        <v>0.91666666666666663</v>
      </c>
    </row>
    <row r="11" spans="1:17" ht="13.9" customHeight="1">
      <c r="A11" s="1"/>
      <c r="B11" s="1">
        <f>SUM(B4:B9)/18</f>
        <v>0.94444444444444442</v>
      </c>
      <c r="C11" s="1">
        <f>SUM(C4:C9)/18</f>
        <v>0.94444444444444442</v>
      </c>
      <c r="D11" s="1">
        <f>SUM(D4:D9)/18</f>
        <v>0.94444444444444442</v>
      </c>
      <c r="E11" s="1">
        <f>SUM(E4:E9)/3</f>
        <v>1</v>
      </c>
      <c r="F11" s="1">
        <f>SUM(F4:F9)/18</f>
        <v>0.77777777777777779</v>
      </c>
      <c r="G11" s="1">
        <f>SUM(G4:G9)/3</f>
        <v>1</v>
      </c>
      <c r="H11" s="1">
        <f>SUM(H4:H9)/3</f>
        <v>1</v>
      </c>
      <c r="I11" s="1"/>
      <c r="K11" s="1"/>
      <c r="L11" s="1"/>
      <c r="M11" s="1"/>
      <c r="N11" s="1"/>
      <c r="O11" s="1"/>
      <c r="P11" s="1"/>
    </row>
    <row r="14" spans="1:17" ht="13.9" customHeight="1">
      <c r="A14" t="s">
        <v>14</v>
      </c>
    </row>
    <row r="16" spans="1:17" ht="13.9" customHeight="1"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16" ht="13.9" customHeight="1">
      <c r="A17" t="s">
        <v>8</v>
      </c>
      <c r="B17" s="2">
        <v>3</v>
      </c>
      <c r="C17" s="2">
        <v>3</v>
      </c>
      <c r="D17" s="2">
        <v>3</v>
      </c>
      <c r="F17" s="2">
        <v>3</v>
      </c>
      <c r="J17" s="1">
        <f>SUM(B17:H17)/12</f>
        <v>1</v>
      </c>
    </row>
    <row r="18" spans="1:16" ht="13.9" customHeight="1">
      <c r="A18" t="s">
        <v>9</v>
      </c>
      <c r="B18" s="2">
        <v>3</v>
      </c>
      <c r="C18" s="2">
        <v>3</v>
      </c>
      <c r="D18" s="2">
        <v>3</v>
      </c>
      <c r="E18" s="2">
        <v>3</v>
      </c>
      <c r="F18" s="2">
        <v>3</v>
      </c>
      <c r="G18" s="2">
        <v>3</v>
      </c>
      <c r="H18" s="2">
        <v>3</v>
      </c>
      <c r="J18" s="1">
        <f>SUM(B18:H18)/21</f>
        <v>1</v>
      </c>
    </row>
    <row r="19" spans="1:16" ht="13.9" customHeight="1">
      <c r="A19" t="s">
        <v>10</v>
      </c>
      <c r="B19" s="2">
        <v>3</v>
      </c>
      <c r="C19" s="2">
        <v>3</v>
      </c>
      <c r="D19" s="2">
        <v>2</v>
      </c>
      <c r="F19" s="2">
        <v>3</v>
      </c>
      <c r="J19" s="1">
        <f>SUM(B19:H19)/12</f>
        <v>0.91666666666666663</v>
      </c>
    </row>
    <row r="20" spans="1:16" ht="13.9" customHeight="1">
      <c r="A20" t="s">
        <v>11</v>
      </c>
      <c r="B20" s="4">
        <v>3</v>
      </c>
      <c r="C20" s="4">
        <v>3</v>
      </c>
      <c r="D20" s="4">
        <v>3</v>
      </c>
      <c r="F20" s="4">
        <v>3</v>
      </c>
      <c r="J20" s="1">
        <f>SUM(B20:H20)/12</f>
        <v>1</v>
      </c>
    </row>
    <row r="21" spans="1:16" ht="13.9" customHeight="1">
      <c r="A21" t="s">
        <v>12</v>
      </c>
      <c r="B21" s="4">
        <v>3</v>
      </c>
      <c r="C21" s="4">
        <v>3</v>
      </c>
      <c r="D21" s="4">
        <v>3</v>
      </c>
      <c r="F21" s="4">
        <v>3</v>
      </c>
      <c r="J21" s="1">
        <f>SUM(B21:H21)/12</f>
        <v>1</v>
      </c>
    </row>
    <row r="22" spans="1:16" ht="13.9" customHeight="1">
      <c r="A22" t="s">
        <v>13</v>
      </c>
      <c r="B22" s="4">
        <v>3</v>
      </c>
      <c r="C22" s="4">
        <v>3</v>
      </c>
      <c r="D22" s="4">
        <v>3</v>
      </c>
      <c r="F22" s="4">
        <v>3</v>
      </c>
      <c r="J22" s="1">
        <f>SUM(B22:H22)/12</f>
        <v>1</v>
      </c>
    </row>
    <row r="24" spans="1:16" ht="13.9" customHeight="1">
      <c r="A24" s="1"/>
      <c r="B24" s="1">
        <f>SUM(B17:B22)/18</f>
        <v>1</v>
      </c>
      <c r="C24" s="1">
        <f>SUM(C17:C22)/18</f>
        <v>1</v>
      </c>
      <c r="D24" s="1">
        <f>SUM(D17:D22)/18</f>
        <v>0.94444444444444442</v>
      </c>
      <c r="E24" s="1">
        <f>SUM(E17:E22)/3</f>
        <v>1</v>
      </c>
      <c r="F24" s="1">
        <f>SUM(F17:F22)/18</f>
        <v>1</v>
      </c>
      <c r="G24" s="1">
        <f>SUM(G17:G22)/3</f>
        <v>1</v>
      </c>
      <c r="H24" s="1">
        <f>SUM(H17:H22)/3</f>
        <v>1</v>
      </c>
      <c r="I24" s="1"/>
      <c r="K24" s="1"/>
      <c r="L24" s="1"/>
      <c r="M24" s="1"/>
      <c r="N24" s="1"/>
      <c r="O24" s="1"/>
      <c r="P24" s="1"/>
    </row>
    <row r="27" spans="1:16" ht="13.9" customHeight="1">
      <c r="A27" t="s">
        <v>15</v>
      </c>
    </row>
    <row r="29" spans="1:16" ht="13.9" customHeight="1"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</row>
    <row r="30" spans="1:16" ht="13.9" customHeight="1">
      <c r="A30" t="s">
        <v>8</v>
      </c>
      <c r="B30" s="8">
        <v>3</v>
      </c>
      <c r="C30" s="8">
        <v>3</v>
      </c>
      <c r="D30" s="8">
        <v>1</v>
      </c>
      <c r="E30" s="7"/>
      <c r="F30" s="8">
        <v>0</v>
      </c>
      <c r="J30" s="1">
        <f>SUM(B30:H30)/12</f>
        <v>0.58333333333333337</v>
      </c>
    </row>
    <row r="31" spans="1:16" ht="13.9" customHeight="1">
      <c r="A31" t="s">
        <v>9</v>
      </c>
      <c r="B31" s="8">
        <v>1</v>
      </c>
      <c r="C31" s="8">
        <v>1</v>
      </c>
      <c r="D31" s="8">
        <v>2</v>
      </c>
      <c r="E31" s="8">
        <v>3</v>
      </c>
      <c r="F31" s="8">
        <v>2</v>
      </c>
      <c r="G31" s="2">
        <v>3</v>
      </c>
      <c r="H31" s="2">
        <v>3</v>
      </c>
      <c r="J31" s="1">
        <f>SUM(B31:H31)/21</f>
        <v>0.7142857142857143</v>
      </c>
    </row>
    <row r="32" spans="1:16" ht="13.9" customHeight="1">
      <c r="A32" t="s">
        <v>10</v>
      </c>
      <c r="B32" s="8">
        <v>3</v>
      </c>
      <c r="C32" s="8">
        <v>3</v>
      </c>
      <c r="D32" s="8">
        <v>3</v>
      </c>
      <c r="E32" s="7"/>
      <c r="F32" s="8">
        <v>3</v>
      </c>
      <c r="J32" s="1">
        <f>SUM(B32:H32)/12</f>
        <v>1</v>
      </c>
    </row>
    <row r="33" spans="1:16" ht="13.9" customHeight="1">
      <c r="A33" t="s">
        <v>11</v>
      </c>
      <c r="B33" s="6">
        <v>3</v>
      </c>
      <c r="C33" s="6">
        <v>1</v>
      </c>
      <c r="D33" s="6">
        <v>3</v>
      </c>
      <c r="E33" s="6"/>
      <c r="F33" s="6">
        <v>0</v>
      </c>
      <c r="J33" s="1">
        <f>SUM(B33:H33)/12</f>
        <v>0.58333333333333337</v>
      </c>
    </row>
    <row r="34" spans="1:16" ht="13.9" customHeight="1">
      <c r="A34" t="s">
        <v>12</v>
      </c>
      <c r="B34" s="6">
        <v>3</v>
      </c>
      <c r="C34" s="6">
        <v>3</v>
      </c>
      <c r="D34" s="6">
        <v>3</v>
      </c>
      <c r="E34" s="6"/>
      <c r="F34" s="6">
        <v>3</v>
      </c>
      <c r="J34" s="1">
        <f>SUM(B34:H34)/12</f>
        <v>1</v>
      </c>
    </row>
    <row r="35" spans="1:16" ht="13.9" customHeight="1">
      <c r="A35" t="s">
        <v>13</v>
      </c>
      <c r="B35" s="6">
        <v>3</v>
      </c>
      <c r="C35" s="6">
        <v>3</v>
      </c>
      <c r="D35" s="6">
        <v>3</v>
      </c>
      <c r="E35" s="6"/>
      <c r="F35" s="6">
        <v>3</v>
      </c>
      <c r="J35" s="1">
        <f>SUM(B35:H35)/12</f>
        <v>1</v>
      </c>
    </row>
    <row r="37" spans="1:16" ht="13.9" customHeight="1">
      <c r="A37" s="1"/>
      <c r="B37" s="1">
        <f>SUM(B30:B35)/18</f>
        <v>0.88888888888888884</v>
      </c>
      <c r="C37" s="1">
        <f>SUM(C30:C35)/18</f>
        <v>0.77777777777777779</v>
      </c>
      <c r="D37" s="1">
        <f>SUM(D30:D35)/18</f>
        <v>0.83333333333333337</v>
      </c>
      <c r="E37" s="1">
        <f>SUM(E30:E35)/3</f>
        <v>1</v>
      </c>
      <c r="F37" s="1">
        <f>SUM(F30:F35)/18</f>
        <v>0.61111111111111116</v>
      </c>
      <c r="G37" s="1">
        <f>SUM(G30:G35)/3</f>
        <v>1</v>
      </c>
      <c r="H37" s="1">
        <f>SUM(H30:H35)/3</f>
        <v>1</v>
      </c>
      <c r="I37" s="1"/>
      <c r="K37" s="1"/>
      <c r="L37" s="1"/>
      <c r="M37" s="1"/>
      <c r="N37" s="1"/>
      <c r="O37" s="1"/>
      <c r="P37" s="1"/>
    </row>
    <row r="40" spans="1:16" ht="13.9" customHeight="1">
      <c r="A40" t="s">
        <v>16</v>
      </c>
    </row>
    <row r="42" spans="1:16" ht="13.9" customHeight="1"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</row>
    <row r="43" spans="1:16" ht="13.9" customHeight="1">
      <c r="A43" t="s">
        <v>8</v>
      </c>
      <c r="B43" s="2">
        <v>3</v>
      </c>
      <c r="C43" s="2">
        <v>3</v>
      </c>
      <c r="D43" s="2">
        <v>3</v>
      </c>
      <c r="F43" s="2">
        <v>1</v>
      </c>
      <c r="J43" s="1">
        <f>SUM(B43:H43)/12</f>
        <v>0.83333333333333337</v>
      </c>
    </row>
    <row r="44" spans="1:16" ht="13.9" customHeight="1">
      <c r="A44" t="s">
        <v>9</v>
      </c>
      <c r="B44" s="2">
        <v>3</v>
      </c>
      <c r="C44" s="2">
        <v>3</v>
      </c>
      <c r="D44" s="2">
        <v>3</v>
      </c>
      <c r="E44" s="2">
        <v>3</v>
      </c>
      <c r="F44" s="2">
        <v>3</v>
      </c>
      <c r="G44" s="2">
        <v>3</v>
      </c>
      <c r="H44" s="2">
        <v>3</v>
      </c>
      <c r="J44" s="1">
        <f>SUM(B44:H44)/21</f>
        <v>1</v>
      </c>
    </row>
    <row r="45" spans="1:16" ht="13.9" customHeight="1">
      <c r="A45" t="s">
        <v>10</v>
      </c>
      <c r="B45" s="2">
        <v>3</v>
      </c>
      <c r="C45" s="2">
        <v>3</v>
      </c>
      <c r="D45" s="2">
        <v>3</v>
      </c>
      <c r="F45" s="2">
        <v>3</v>
      </c>
      <c r="J45" s="1">
        <f>SUM(B45:H45)/12</f>
        <v>1</v>
      </c>
    </row>
    <row r="46" spans="1:16" ht="13.9" customHeight="1">
      <c r="A46" t="s">
        <v>11</v>
      </c>
      <c r="B46" s="4">
        <v>3</v>
      </c>
      <c r="C46" s="4">
        <v>3</v>
      </c>
      <c r="D46" s="4">
        <v>2</v>
      </c>
      <c r="F46" s="4">
        <v>2</v>
      </c>
      <c r="J46" s="1">
        <f>SUM(B46:H46)/12</f>
        <v>0.83333333333333337</v>
      </c>
    </row>
    <row r="47" spans="1:16" ht="13.9" customHeight="1">
      <c r="A47" t="s">
        <v>12</v>
      </c>
      <c r="B47" s="4">
        <v>3</v>
      </c>
      <c r="C47" s="4">
        <v>3</v>
      </c>
      <c r="D47" s="4">
        <v>3</v>
      </c>
      <c r="F47" s="4">
        <v>3</v>
      </c>
      <c r="J47" s="1">
        <f>SUM(B47:H47)/12</f>
        <v>1</v>
      </c>
    </row>
    <row r="48" spans="1:16" ht="13.9" customHeight="1">
      <c r="A48" t="s">
        <v>13</v>
      </c>
      <c r="B48" s="4">
        <v>3</v>
      </c>
      <c r="C48" s="4">
        <v>3</v>
      </c>
      <c r="D48" s="4">
        <v>3</v>
      </c>
      <c r="F48" s="4">
        <v>3</v>
      </c>
      <c r="J48" s="1">
        <f>SUM(B48:H48)/12</f>
        <v>1</v>
      </c>
    </row>
    <row r="49" spans="1:16" ht="14.5"/>
    <row r="50" spans="1:16" ht="14.5">
      <c r="A50" s="1"/>
      <c r="B50" s="1">
        <f>SUM(B43:B48)/18</f>
        <v>1</v>
      </c>
      <c r="C50" s="1">
        <f>SUM(C43:C48)/18</f>
        <v>1</v>
      </c>
      <c r="D50" s="1">
        <f>SUM(D43:D48)/18</f>
        <v>0.94444444444444442</v>
      </c>
      <c r="E50" s="1">
        <f>SUM(E43:E48)/3</f>
        <v>1</v>
      </c>
      <c r="F50" s="1">
        <f>SUM(F43:F48)/18</f>
        <v>0.83333333333333337</v>
      </c>
      <c r="G50" s="1">
        <f>SUM(G43:G48)/3</f>
        <v>1</v>
      </c>
      <c r="H50" s="1">
        <f>SUM(H43:H48)/3</f>
        <v>1</v>
      </c>
      <c r="I50" s="1"/>
      <c r="K50" s="1"/>
      <c r="L50" s="1"/>
      <c r="M50" s="1"/>
      <c r="N50" s="1"/>
      <c r="O50" s="1"/>
      <c r="P50" s="1"/>
    </row>
    <row r="51" spans="1:16" ht="14.5"/>
    <row r="52" spans="1:16" ht="14.5"/>
    <row r="53" spans="1:16" ht="14.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0"/>
  <sheetViews>
    <sheetView zoomScaleNormal="100" workbookViewId="0">
      <selection activeCell="A53" sqref="A53:XFD75"/>
    </sheetView>
  </sheetViews>
  <sheetFormatPr baseColWidth="10" defaultColWidth="11.54296875" defaultRowHeight="13.9" customHeight="1"/>
  <cols>
    <col min="1" max="9" width="10.453125" customWidth="1"/>
  </cols>
  <sheetData>
    <row r="1" spans="1:24" ht="13.9" customHeight="1">
      <c r="A1" t="s">
        <v>0</v>
      </c>
      <c r="G1">
        <v>6</v>
      </c>
    </row>
    <row r="2" spans="1:24" ht="13.9" customHeight="1">
      <c r="B2" t="s">
        <v>1</v>
      </c>
      <c r="D2" t="s">
        <v>2</v>
      </c>
      <c r="F2" t="s">
        <v>17</v>
      </c>
      <c r="H2" t="s">
        <v>18</v>
      </c>
    </row>
    <row r="3" spans="1:24" ht="13.9" customHeight="1">
      <c r="K3" t="s">
        <v>20</v>
      </c>
      <c r="L3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</row>
    <row r="4" spans="1:24" ht="13.9" customHeight="1">
      <c r="A4" t="s">
        <v>8</v>
      </c>
      <c r="B4" s="2">
        <v>2</v>
      </c>
      <c r="C4" s="2">
        <v>1</v>
      </c>
      <c r="D4" s="2">
        <v>3</v>
      </c>
      <c r="E4" s="2">
        <v>2</v>
      </c>
      <c r="F4" s="2">
        <v>8</v>
      </c>
      <c r="G4" s="2">
        <v>7</v>
      </c>
      <c r="H4" s="2">
        <v>12</v>
      </c>
      <c r="I4" s="2">
        <v>11</v>
      </c>
      <c r="K4">
        <f t="shared" ref="K4:L9" si="0">B4+D4+F4+H4</f>
        <v>25</v>
      </c>
      <c r="L4">
        <f t="shared" si="0"/>
        <v>21</v>
      </c>
      <c r="N4" t="s">
        <v>70</v>
      </c>
      <c r="O4">
        <f>(SUM(B4:B9)+SUM(B30:B35))/([1]Diagramme_Completness!B10*2)</f>
        <v>0.95454545454545459</v>
      </c>
      <c r="P4">
        <f>(SUM(C4:C9)+SUM(C30:C35))/([1]Diagramme_Completness!C10*2)</f>
        <v>1</v>
      </c>
      <c r="Q4">
        <f>(SUM(D4:D9)+SUM(D30:D35))/([1]Diagramme_Completness!D10*2)</f>
        <v>0.95833333333333337</v>
      </c>
      <c r="R4">
        <f>(SUM(E4:E9)+SUM(E30:E35))/([1]Diagramme_Completness!E10*2)</f>
        <v>0.89583333333333337</v>
      </c>
      <c r="S4">
        <f>(SUM(F4:F9)+SUM(F30:F35))/([1]Diagramme_Completness!F10*2)</f>
        <v>0.92753623188405798</v>
      </c>
      <c r="T4">
        <f>(SUM(G4:G9)+SUM(G30:G35))/([1]Diagramme_Completness!G10*2)</f>
        <v>0.79411764705882348</v>
      </c>
      <c r="U4">
        <f>(SUM(H4:H9)+SUM(H30:H35))/([1]Diagramme_Completness!H10*2)</f>
        <v>0.8990825688073395</v>
      </c>
      <c r="V4">
        <f>(SUM(I4:I9)+SUM(I30:I35))/([1]Diagramme_Completness!I10*2)</f>
        <v>0.74117647058823533</v>
      </c>
      <c r="W4">
        <f>(SUM(B4:B9)+SUM(D4:D9)+SUM(F4:F9)+SUM(H4:H9)+SUM(B30:B35)+SUM(D30:D35)+SUM(F30:F35)+SUM(H30:H35))/([1]Diagramme_Completness!J10*2)</f>
        <v>0.92161016949152541</v>
      </c>
      <c r="X4">
        <f>(SUM(C4:C9)+SUM(E4:E9)+SUM(G4:G9)+SUM(I4:I9)+SUM(C30:C35)+SUM(E30:E35)+SUM(G30:G35)+SUM(I30:I35))/([1]Diagramme_Completness!K10*2)</f>
        <v>0.79411764705882348</v>
      </c>
    </row>
    <row r="5" spans="1:24" ht="13.9" customHeight="1">
      <c r="A5" t="s">
        <v>9</v>
      </c>
      <c r="B5" s="2">
        <v>5</v>
      </c>
      <c r="C5" s="2">
        <v>4</v>
      </c>
      <c r="D5" s="2">
        <v>7</v>
      </c>
      <c r="E5" s="2">
        <v>6</v>
      </c>
      <c r="F5" s="2">
        <v>14</v>
      </c>
      <c r="G5" s="2">
        <v>10</v>
      </c>
      <c r="H5" s="2">
        <v>28</v>
      </c>
      <c r="I5" s="2">
        <v>22</v>
      </c>
      <c r="K5">
        <f t="shared" si="0"/>
        <v>54</v>
      </c>
      <c r="L5">
        <f t="shared" si="0"/>
        <v>42</v>
      </c>
      <c r="N5" t="s">
        <v>71</v>
      </c>
      <c r="O5">
        <f>(SUM(B17:B22)+SUM(B43:B48))/([1]Diagramme_Completness!B10*2)</f>
        <v>0.95454545454545459</v>
      </c>
      <c r="P5">
        <f>(SUM(C17:C22)+SUM(C43:C48))/([1]Diagramme_Completness!C10*2)</f>
        <v>1</v>
      </c>
      <c r="Q5">
        <f>(SUM(D17:D22)+SUM(D43:D48))/([1]Diagramme_Completness!D10*2)</f>
        <v>0.95833333333333337</v>
      </c>
      <c r="R5">
        <f>(SUM(E17:E22)+SUM(E43:E48))/([1]Diagramme_Completness!E10*2)</f>
        <v>1</v>
      </c>
      <c r="S5">
        <f>(SUM(F17:F22)+SUM(F43:F48))/([1]Diagramme_Completness!F10*2)</f>
        <v>0.97826086956521741</v>
      </c>
      <c r="T5">
        <f>(SUM(G17:G22)+SUM(G43:G48))/([1]Diagramme_Completness!G10*2)</f>
        <v>0.91176470588235292</v>
      </c>
      <c r="U5">
        <f>(SUM(H17:H22)+SUM(H43:H48))/([1]Diagramme_Completness!H10*2)</f>
        <v>0.94495412844036697</v>
      </c>
      <c r="V5">
        <f>(SUM(I17:I22)+SUM(I43:I48))/([1]Diagramme_Completness!I10*2)</f>
        <v>0.82352941176470584</v>
      </c>
      <c r="W5">
        <f>(SUM(K17:K22)+SUM(K43:K48))/([1]Diagramme_Completness!J10*2)</f>
        <v>0.9576271186440678</v>
      </c>
      <c r="X5">
        <f>(SUM(L17:L22)+SUM(L43:L48))/([1]Diagramme_Completness!K10*2)</f>
        <v>0.88529411764705879</v>
      </c>
    </row>
    <row r="6" spans="1:24" ht="13.9" customHeight="1">
      <c r="A6" t="s">
        <v>10</v>
      </c>
      <c r="B6" s="2">
        <v>6</v>
      </c>
      <c r="C6" s="2">
        <v>0</v>
      </c>
      <c r="D6" s="2">
        <v>9</v>
      </c>
      <c r="E6" s="2">
        <v>3</v>
      </c>
      <c r="F6" s="2">
        <v>16</v>
      </c>
      <c r="G6" s="2">
        <v>6</v>
      </c>
      <c r="H6" s="2">
        <v>29</v>
      </c>
      <c r="I6" s="2">
        <v>14</v>
      </c>
      <c r="K6">
        <f t="shared" si="0"/>
        <v>60</v>
      </c>
      <c r="L6">
        <f t="shared" si="0"/>
        <v>23</v>
      </c>
    </row>
    <row r="7" spans="1:24" ht="13.9" customHeight="1">
      <c r="A7" t="s">
        <v>11</v>
      </c>
      <c r="B7" s="6">
        <v>2</v>
      </c>
      <c r="C7" s="6">
        <v>1</v>
      </c>
      <c r="D7" s="6">
        <v>4</v>
      </c>
      <c r="E7" s="6">
        <v>3</v>
      </c>
      <c r="F7" s="6">
        <v>9</v>
      </c>
      <c r="G7" s="6">
        <v>8</v>
      </c>
      <c r="H7" s="6">
        <v>13</v>
      </c>
      <c r="I7" s="6">
        <v>12</v>
      </c>
      <c r="K7">
        <f t="shared" si="0"/>
        <v>28</v>
      </c>
      <c r="L7">
        <f t="shared" si="0"/>
        <v>24</v>
      </c>
    </row>
    <row r="8" spans="1:24" ht="13.9" customHeight="1">
      <c r="A8" t="s">
        <v>12</v>
      </c>
      <c r="B8" s="6">
        <v>4</v>
      </c>
      <c r="C8" s="6">
        <v>3</v>
      </c>
      <c r="D8" s="6">
        <v>7</v>
      </c>
      <c r="E8" s="6">
        <v>6</v>
      </c>
      <c r="F8" s="6">
        <v>11</v>
      </c>
      <c r="G8" s="6">
        <v>9</v>
      </c>
      <c r="H8" s="6">
        <v>14</v>
      </c>
      <c r="I8" s="6">
        <v>9</v>
      </c>
      <c r="K8">
        <f t="shared" si="0"/>
        <v>36</v>
      </c>
      <c r="L8">
        <f t="shared" si="0"/>
        <v>27</v>
      </c>
    </row>
    <row r="9" spans="1:24" ht="13.9" customHeight="1">
      <c r="A9" t="s">
        <v>13</v>
      </c>
      <c r="B9" s="6">
        <v>2</v>
      </c>
      <c r="C9" s="6">
        <v>1</v>
      </c>
      <c r="D9" s="6">
        <v>5</v>
      </c>
      <c r="E9" s="6">
        <v>4</v>
      </c>
      <c r="F9" s="6">
        <v>9</v>
      </c>
      <c r="G9" s="6">
        <v>6</v>
      </c>
      <c r="H9" s="6">
        <v>12</v>
      </c>
      <c r="I9" s="6">
        <v>6</v>
      </c>
      <c r="K9">
        <f t="shared" si="0"/>
        <v>28</v>
      </c>
      <c r="L9">
        <f t="shared" si="0"/>
        <v>17</v>
      </c>
    </row>
    <row r="11" spans="1:24" ht="13.9" customHeight="1">
      <c r="B11">
        <f>SUM(B4:B9)/22</f>
        <v>0.95454545454545459</v>
      </c>
      <c r="C11">
        <f>SUM(C4:C9)/10</f>
        <v>1</v>
      </c>
      <c r="D11">
        <f>SUM(D4:D9)/36</f>
        <v>0.97222222222222221</v>
      </c>
      <c r="E11">
        <f>SUM(E4:E9)/24</f>
        <v>1</v>
      </c>
      <c r="F11">
        <f>SUM(F4:F9)/69</f>
        <v>0.97101449275362317</v>
      </c>
      <c r="G11">
        <f>SUM(G4:G9)/51</f>
        <v>0.90196078431372551</v>
      </c>
      <c r="H11">
        <f>SUM(H4:H9)/109</f>
        <v>0.99082568807339455</v>
      </c>
      <c r="I11">
        <f>SUM(I4:I9)/85</f>
        <v>0.87058823529411766</v>
      </c>
    </row>
    <row r="14" spans="1:24" ht="13.9" customHeight="1">
      <c r="A14" t="s">
        <v>14</v>
      </c>
    </row>
    <row r="15" spans="1:24" ht="13.9" customHeight="1">
      <c r="F15">
        <v>7</v>
      </c>
      <c r="G15">
        <v>6</v>
      </c>
    </row>
    <row r="16" spans="1:24" ht="13.9" customHeight="1">
      <c r="B16" t="s">
        <v>1</v>
      </c>
      <c r="D16" t="s">
        <v>2</v>
      </c>
      <c r="F16" t="s">
        <v>17</v>
      </c>
      <c r="H16" t="s">
        <v>18</v>
      </c>
      <c r="K16" t="s">
        <v>20</v>
      </c>
      <c r="L16" t="s">
        <v>21</v>
      </c>
    </row>
    <row r="17" spans="1:12" ht="13.9" customHeight="1">
      <c r="A17" t="s">
        <v>8</v>
      </c>
      <c r="B17" s="2">
        <v>2</v>
      </c>
      <c r="C17" s="2">
        <v>1</v>
      </c>
      <c r="D17" s="2">
        <v>3</v>
      </c>
      <c r="E17" s="2">
        <v>2</v>
      </c>
      <c r="F17" s="2">
        <v>8</v>
      </c>
      <c r="G17" s="2">
        <v>7</v>
      </c>
      <c r="H17" s="2">
        <v>12</v>
      </c>
      <c r="I17" s="2">
        <v>11</v>
      </c>
      <c r="K17">
        <f t="shared" ref="K17:L22" si="1">B17+D17+F17+H17</f>
        <v>25</v>
      </c>
      <c r="L17">
        <f t="shared" si="1"/>
        <v>21</v>
      </c>
    </row>
    <row r="18" spans="1:12" ht="13.9" customHeight="1">
      <c r="A18" t="s">
        <v>9</v>
      </c>
      <c r="B18" s="2">
        <v>5</v>
      </c>
      <c r="C18" s="2">
        <v>4</v>
      </c>
      <c r="D18" s="2">
        <v>7</v>
      </c>
      <c r="E18" s="2">
        <v>6</v>
      </c>
      <c r="F18" s="2">
        <v>14</v>
      </c>
      <c r="G18" s="2">
        <v>11</v>
      </c>
      <c r="H18" s="2">
        <v>28</v>
      </c>
      <c r="I18" s="2">
        <v>23</v>
      </c>
      <c r="K18">
        <f t="shared" si="1"/>
        <v>54</v>
      </c>
      <c r="L18">
        <f t="shared" si="1"/>
        <v>44</v>
      </c>
    </row>
    <row r="19" spans="1:12" ht="13.9" customHeight="1">
      <c r="A19" t="s">
        <v>10</v>
      </c>
      <c r="B19" s="2">
        <v>6</v>
      </c>
      <c r="C19" s="2">
        <v>0</v>
      </c>
      <c r="D19" s="2">
        <v>9</v>
      </c>
      <c r="E19" s="2">
        <v>3</v>
      </c>
      <c r="F19" s="2">
        <v>17</v>
      </c>
      <c r="G19" s="2">
        <v>7</v>
      </c>
      <c r="H19" s="2">
        <v>28</v>
      </c>
      <c r="I19" s="2">
        <v>15</v>
      </c>
      <c r="K19">
        <f t="shared" si="1"/>
        <v>60</v>
      </c>
      <c r="L19">
        <f t="shared" si="1"/>
        <v>25</v>
      </c>
    </row>
    <row r="20" spans="1:12" ht="13.9" customHeight="1">
      <c r="A20" t="s">
        <v>11</v>
      </c>
      <c r="B20" s="4">
        <v>2</v>
      </c>
      <c r="C20" s="4">
        <v>1</v>
      </c>
      <c r="D20" s="4">
        <v>4</v>
      </c>
      <c r="E20" s="4">
        <v>3</v>
      </c>
      <c r="F20" s="4">
        <v>9</v>
      </c>
      <c r="G20" s="4">
        <v>8</v>
      </c>
      <c r="H20" s="4">
        <v>13</v>
      </c>
      <c r="I20" s="4">
        <v>12</v>
      </c>
      <c r="K20">
        <f t="shared" si="1"/>
        <v>28</v>
      </c>
      <c r="L20">
        <f t="shared" si="1"/>
        <v>24</v>
      </c>
    </row>
    <row r="21" spans="1:12" ht="13.9" customHeight="1">
      <c r="A21" t="s">
        <v>12</v>
      </c>
      <c r="B21" s="4">
        <v>4</v>
      </c>
      <c r="C21" s="4">
        <v>3</v>
      </c>
      <c r="D21" s="4">
        <v>7</v>
      </c>
      <c r="E21" s="4">
        <v>6</v>
      </c>
      <c r="F21" s="4">
        <v>11</v>
      </c>
      <c r="G21" s="4">
        <v>9</v>
      </c>
      <c r="H21" s="4">
        <v>11</v>
      </c>
      <c r="I21" s="4">
        <v>6</v>
      </c>
      <c r="K21">
        <f t="shared" si="1"/>
        <v>33</v>
      </c>
      <c r="L21">
        <f t="shared" si="1"/>
        <v>24</v>
      </c>
    </row>
    <row r="22" spans="1:12" ht="13.9" customHeight="1">
      <c r="A22" t="s">
        <v>13</v>
      </c>
      <c r="B22" s="4">
        <v>2</v>
      </c>
      <c r="C22" s="4">
        <v>1</v>
      </c>
      <c r="D22" s="4">
        <v>5</v>
      </c>
      <c r="E22" s="4">
        <v>4</v>
      </c>
      <c r="F22" s="4">
        <v>9</v>
      </c>
      <c r="G22" s="4">
        <v>6</v>
      </c>
      <c r="H22" s="4">
        <v>12</v>
      </c>
      <c r="I22" s="4">
        <v>6</v>
      </c>
      <c r="K22">
        <f t="shared" si="1"/>
        <v>28</v>
      </c>
      <c r="L22">
        <f t="shared" si="1"/>
        <v>17</v>
      </c>
    </row>
    <row r="24" spans="1:12" ht="13.9" customHeight="1">
      <c r="B24">
        <f>SUM(B17:B22)/22</f>
        <v>0.95454545454545459</v>
      </c>
      <c r="C24">
        <f>SUM(C17:C22)/10</f>
        <v>1</v>
      </c>
      <c r="D24">
        <f>SUM(D17:D22)/36</f>
        <v>0.97222222222222221</v>
      </c>
      <c r="E24">
        <f>SUM(E17:E22)/24</f>
        <v>1</v>
      </c>
      <c r="F24">
        <f>SUM(F17:F22)/69</f>
        <v>0.98550724637681164</v>
      </c>
      <c r="G24">
        <f>SUM(G17:G22)/51</f>
        <v>0.94117647058823528</v>
      </c>
      <c r="H24">
        <f>SUM(H17:H22)/109</f>
        <v>0.95412844036697253</v>
      </c>
      <c r="I24">
        <f>SUM(I17:I22)/85</f>
        <v>0.85882352941176465</v>
      </c>
    </row>
    <row r="27" spans="1:12" ht="13.9" customHeight="1">
      <c r="A27" t="s">
        <v>15</v>
      </c>
    </row>
    <row r="29" spans="1:12" ht="13.9" customHeight="1">
      <c r="B29" t="s">
        <v>1</v>
      </c>
      <c r="D29" t="s">
        <v>2</v>
      </c>
      <c r="F29" t="s">
        <v>17</v>
      </c>
      <c r="H29" t="s">
        <v>18</v>
      </c>
      <c r="K29" t="s">
        <v>20</v>
      </c>
      <c r="L29" t="s">
        <v>21</v>
      </c>
    </row>
    <row r="30" spans="1:12" ht="13.9" customHeight="1">
      <c r="A30" t="s">
        <v>8</v>
      </c>
      <c r="B30" s="2">
        <v>2</v>
      </c>
      <c r="C30" s="2">
        <v>1</v>
      </c>
      <c r="D30" s="2">
        <v>3</v>
      </c>
      <c r="E30" s="2">
        <v>0</v>
      </c>
      <c r="F30" s="2">
        <v>7</v>
      </c>
      <c r="G30" s="2">
        <v>4</v>
      </c>
      <c r="H30" s="2">
        <v>0</v>
      </c>
      <c r="I30" s="2">
        <v>0</v>
      </c>
      <c r="K30">
        <f t="shared" ref="K30:L35" si="2">B30+D30+F30+H30</f>
        <v>12</v>
      </c>
      <c r="L30">
        <f t="shared" si="2"/>
        <v>5</v>
      </c>
    </row>
    <row r="31" spans="1:12" ht="13.9" customHeight="1">
      <c r="A31" t="s">
        <v>9</v>
      </c>
      <c r="B31" s="2">
        <v>5</v>
      </c>
      <c r="C31" s="2">
        <v>4</v>
      </c>
      <c r="D31" s="2">
        <v>7</v>
      </c>
      <c r="E31" s="2">
        <v>6</v>
      </c>
      <c r="F31" s="2">
        <v>14</v>
      </c>
      <c r="G31" s="2">
        <v>10</v>
      </c>
      <c r="H31" s="2">
        <v>28</v>
      </c>
      <c r="I31" s="2">
        <v>21</v>
      </c>
      <c r="K31">
        <f t="shared" si="2"/>
        <v>54</v>
      </c>
      <c r="L31">
        <f t="shared" si="2"/>
        <v>41</v>
      </c>
    </row>
    <row r="32" spans="1:12" ht="13.9" customHeight="1">
      <c r="A32" t="s">
        <v>10</v>
      </c>
      <c r="B32" s="2">
        <v>6</v>
      </c>
      <c r="C32" s="2">
        <v>0</v>
      </c>
      <c r="D32" s="2">
        <v>8</v>
      </c>
      <c r="E32" s="2">
        <v>2</v>
      </c>
      <c r="F32" s="2">
        <v>14</v>
      </c>
      <c r="G32" s="2">
        <v>4</v>
      </c>
      <c r="H32" s="2">
        <v>28</v>
      </c>
      <c r="I32" s="2">
        <v>16</v>
      </c>
      <c r="K32">
        <f t="shared" si="2"/>
        <v>56</v>
      </c>
      <c r="L32">
        <f t="shared" si="2"/>
        <v>22</v>
      </c>
    </row>
    <row r="33" spans="1:12" ht="13.9" customHeight="1">
      <c r="A33" t="s">
        <v>11</v>
      </c>
      <c r="B33" s="6">
        <v>2</v>
      </c>
      <c r="C33" s="6">
        <v>1</v>
      </c>
      <c r="D33" s="6">
        <v>4</v>
      </c>
      <c r="E33" s="6">
        <v>1</v>
      </c>
      <c r="F33" s="6">
        <v>9</v>
      </c>
      <c r="G33" s="6">
        <v>5</v>
      </c>
      <c r="H33" s="6">
        <v>9</v>
      </c>
      <c r="I33" s="6">
        <v>2</v>
      </c>
      <c r="K33">
        <f t="shared" si="2"/>
        <v>24</v>
      </c>
      <c r="L33">
        <f t="shared" si="2"/>
        <v>9</v>
      </c>
    </row>
    <row r="34" spans="1:12" ht="13.9" customHeight="1">
      <c r="A34" t="s">
        <v>12</v>
      </c>
      <c r="B34" s="6">
        <v>4</v>
      </c>
      <c r="C34" s="6">
        <v>3</v>
      </c>
      <c r="D34" s="6">
        <v>7</v>
      </c>
      <c r="E34" s="6">
        <v>6</v>
      </c>
      <c r="F34" s="6">
        <v>8</v>
      </c>
      <c r="G34" s="6">
        <v>6</v>
      </c>
      <c r="H34" s="6">
        <v>11</v>
      </c>
      <c r="I34" s="6">
        <v>7</v>
      </c>
      <c r="K34">
        <f t="shared" si="2"/>
        <v>30</v>
      </c>
      <c r="L34">
        <f t="shared" si="2"/>
        <v>22</v>
      </c>
    </row>
    <row r="35" spans="1:12" ht="13.9" customHeight="1">
      <c r="A35" t="s">
        <v>13</v>
      </c>
      <c r="B35" s="6">
        <v>2</v>
      </c>
      <c r="C35" s="6">
        <v>1</v>
      </c>
      <c r="D35" s="6">
        <v>5</v>
      </c>
      <c r="E35" s="6">
        <v>4</v>
      </c>
      <c r="F35" s="6">
        <v>9</v>
      </c>
      <c r="G35" s="6">
        <v>6</v>
      </c>
      <c r="H35" s="6">
        <v>12</v>
      </c>
      <c r="I35" s="6">
        <v>6</v>
      </c>
      <c r="K35">
        <f t="shared" si="2"/>
        <v>28</v>
      </c>
      <c r="L35">
        <f t="shared" si="2"/>
        <v>17</v>
      </c>
    </row>
    <row r="37" spans="1:12" ht="13.9" customHeight="1">
      <c r="B37">
        <f>SUM(B30:B35)/22</f>
        <v>0.95454545454545459</v>
      </c>
      <c r="C37">
        <f>SUM(C30:C35)/10</f>
        <v>1</v>
      </c>
      <c r="D37">
        <f>SUM(D30:D35)/36</f>
        <v>0.94444444444444442</v>
      </c>
      <c r="E37">
        <f>SUM(E30:E35)/24</f>
        <v>0.79166666666666663</v>
      </c>
      <c r="F37">
        <f>SUM(F30:F35)/69</f>
        <v>0.88405797101449279</v>
      </c>
      <c r="G37">
        <f>SUM(G30:G35)/51</f>
        <v>0.68627450980392157</v>
      </c>
      <c r="H37">
        <f>SUM(H30:H35)/109</f>
        <v>0.80733944954128445</v>
      </c>
      <c r="I37">
        <f>SUM(I30:I35)/85</f>
        <v>0.61176470588235299</v>
      </c>
    </row>
    <row r="40" spans="1:12" ht="13.9" customHeight="1">
      <c r="A40" t="s">
        <v>16</v>
      </c>
    </row>
    <row r="42" spans="1:12" ht="13.9" customHeight="1">
      <c r="B42" t="s">
        <v>1</v>
      </c>
      <c r="D42" t="s">
        <v>2</v>
      </c>
      <c r="F42" t="s">
        <v>17</v>
      </c>
      <c r="H42" t="s">
        <v>18</v>
      </c>
      <c r="K42" t="s">
        <v>20</v>
      </c>
      <c r="L42" t="s">
        <v>21</v>
      </c>
    </row>
    <row r="43" spans="1:12" ht="13.9" customHeight="1">
      <c r="A43" t="s">
        <v>8</v>
      </c>
      <c r="B43" s="2">
        <v>2</v>
      </c>
      <c r="C43" s="2">
        <v>1</v>
      </c>
      <c r="D43" s="2">
        <v>3</v>
      </c>
      <c r="E43" s="2">
        <v>2</v>
      </c>
      <c r="F43" s="2">
        <v>8</v>
      </c>
      <c r="G43" s="2">
        <v>7</v>
      </c>
      <c r="H43" s="2">
        <v>12</v>
      </c>
      <c r="I43" s="2">
        <v>11</v>
      </c>
      <c r="K43">
        <f t="shared" ref="K43:L48" si="3">B43+D43+F43+H43</f>
        <v>25</v>
      </c>
      <c r="L43">
        <f t="shared" si="3"/>
        <v>21</v>
      </c>
    </row>
    <row r="44" spans="1:12" ht="13.9" customHeight="1">
      <c r="A44" t="s">
        <v>9</v>
      </c>
      <c r="B44" s="2">
        <v>5</v>
      </c>
      <c r="C44" s="2">
        <v>4</v>
      </c>
      <c r="D44" s="2">
        <v>7</v>
      </c>
      <c r="E44" s="2">
        <v>6</v>
      </c>
      <c r="F44" s="2">
        <v>14</v>
      </c>
      <c r="G44" s="2">
        <v>12</v>
      </c>
      <c r="H44" s="2">
        <v>26</v>
      </c>
      <c r="I44" s="2">
        <v>22</v>
      </c>
      <c r="K44">
        <f t="shared" si="3"/>
        <v>52</v>
      </c>
      <c r="L44">
        <f t="shared" si="3"/>
        <v>44</v>
      </c>
    </row>
    <row r="45" spans="1:12" ht="13.9" customHeight="1">
      <c r="A45" t="s">
        <v>10</v>
      </c>
      <c r="B45" s="2">
        <v>6</v>
      </c>
      <c r="C45" s="2">
        <v>0</v>
      </c>
      <c r="D45" s="2">
        <v>8</v>
      </c>
      <c r="E45" s="2">
        <v>3</v>
      </c>
      <c r="F45" s="2">
        <v>17</v>
      </c>
      <c r="G45" s="2">
        <v>7</v>
      </c>
      <c r="H45" s="2">
        <v>29</v>
      </c>
      <c r="I45" s="2">
        <v>16</v>
      </c>
      <c r="K45">
        <f t="shared" si="3"/>
        <v>60</v>
      </c>
      <c r="L45">
        <f t="shared" si="3"/>
        <v>26</v>
      </c>
    </row>
    <row r="46" spans="1:12" ht="13.9" customHeight="1">
      <c r="A46" t="s">
        <v>11</v>
      </c>
      <c r="B46" s="4">
        <v>2</v>
      </c>
      <c r="C46" s="4">
        <v>1</v>
      </c>
      <c r="D46" s="4">
        <v>4</v>
      </c>
      <c r="E46" s="4">
        <v>3</v>
      </c>
      <c r="F46" s="4">
        <v>9</v>
      </c>
      <c r="G46" s="4">
        <v>5</v>
      </c>
      <c r="H46" s="4">
        <v>12</v>
      </c>
      <c r="I46" s="4">
        <v>6</v>
      </c>
      <c r="K46">
        <f t="shared" si="3"/>
        <v>27</v>
      </c>
      <c r="L46">
        <f t="shared" si="3"/>
        <v>15</v>
      </c>
    </row>
    <row r="47" spans="1:12" ht="13.9" customHeight="1">
      <c r="A47" t="s">
        <v>12</v>
      </c>
      <c r="B47" s="4">
        <v>4</v>
      </c>
      <c r="C47" s="4">
        <v>3</v>
      </c>
      <c r="D47" s="4">
        <v>7</v>
      </c>
      <c r="E47" s="4">
        <v>6</v>
      </c>
      <c r="F47" s="4">
        <v>10</v>
      </c>
      <c r="G47" s="4">
        <v>8</v>
      </c>
      <c r="H47" s="4">
        <v>11</v>
      </c>
      <c r="I47" s="4">
        <v>6</v>
      </c>
      <c r="K47">
        <f t="shared" si="3"/>
        <v>32</v>
      </c>
      <c r="L47">
        <f t="shared" si="3"/>
        <v>23</v>
      </c>
    </row>
    <row r="48" spans="1:12" ht="13.9" customHeight="1">
      <c r="A48" t="s">
        <v>13</v>
      </c>
      <c r="B48" s="4">
        <v>2</v>
      </c>
      <c r="C48" s="4">
        <v>1</v>
      </c>
      <c r="D48" s="4">
        <v>5</v>
      </c>
      <c r="E48" s="4">
        <v>4</v>
      </c>
      <c r="F48" s="4">
        <v>9</v>
      </c>
      <c r="G48" s="4">
        <v>6</v>
      </c>
      <c r="H48" s="4">
        <v>12</v>
      </c>
      <c r="I48" s="4">
        <v>6</v>
      </c>
      <c r="K48">
        <f t="shared" si="3"/>
        <v>28</v>
      </c>
      <c r="L48">
        <f t="shared" si="3"/>
        <v>17</v>
      </c>
    </row>
    <row r="50" spans="2:9" ht="14.5">
      <c r="B50">
        <f>SUM(B43:B48)/22</f>
        <v>0.95454545454545459</v>
      </c>
      <c r="C50">
        <f>SUM(C43:C48)/10</f>
        <v>1</v>
      </c>
      <c r="D50">
        <f>SUM(D43:D48)/36</f>
        <v>0.94444444444444442</v>
      </c>
      <c r="E50">
        <f>SUM(E43:E48)/24</f>
        <v>1</v>
      </c>
      <c r="F50">
        <f>SUM(F43:F48)/69</f>
        <v>0.97101449275362317</v>
      </c>
      <c r="G50">
        <f>SUM(G43:G48)/51</f>
        <v>0.88235294117647056</v>
      </c>
      <c r="H50">
        <f>SUM(H43:H48)/109</f>
        <v>0.93577981651376152</v>
      </c>
      <c r="I50">
        <f>SUM(I43:I48)/85</f>
        <v>0.78823529411764703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0"/>
  <sheetViews>
    <sheetView zoomScaleNormal="100" workbookViewId="0">
      <selection activeCell="N27" sqref="N27"/>
    </sheetView>
  </sheetViews>
  <sheetFormatPr baseColWidth="10" defaultColWidth="11.54296875" defaultRowHeight="13.9" customHeight="1"/>
  <cols>
    <col min="1" max="9" width="10.453125" customWidth="1"/>
  </cols>
  <sheetData>
    <row r="1" spans="1:24" ht="13.9" customHeight="1">
      <c r="A1" t="s">
        <v>0</v>
      </c>
    </row>
    <row r="2" spans="1:24" ht="13.9" customHeight="1">
      <c r="B2" t="s">
        <v>1</v>
      </c>
      <c r="D2" t="s">
        <v>2</v>
      </c>
      <c r="F2" t="s">
        <v>17</v>
      </c>
      <c r="H2" t="s">
        <v>18</v>
      </c>
    </row>
    <row r="3" spans="1:24" ht="13.9" customHeight="1">
      <c r="K3" t="s">
        <v>20</v>
      </c>
      <c r="L3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</row>
    <row r="4" spans="1:24" ht="13.9" customHeight="1">
      <c r="A4" t="s">
        <v>8</v>
      </c>
      <c r="B4" s="2">
        <v>2</v>
      </c>
      <c r="C4" s="2">
        <v>1</v>
      </c>
      <c r="D4" s="2">
        <v>3</v>
      </c>
      <c r="E4" s="2">
        <v>2</v>
      </c>
      <c r="F4" s="2">
        <v>8</v>
      </c>
      <c r="G4" s="2">
        <v>7</v>
      </c>
      <c r="H4" s="2">
        <v>12</v>
      </c>
      <c r="I4" s="2">
        <v>11</v>
      </c>
      <c r="K4">
        <f>B4+D4+F4+H4</f>
        <v>25</v>
      </c>
      <c r="L4">
        <f>C4+E4+G4+I4</f>
        <v>21</v>
      </c>
      <c r="N4" t="s">
        <v>70</v>
      </c>
      <c r="O4">
        <f>(SUM(B4:B9)+SUM(B30:B35))/([1]Diagramme_Completness!B10*2)</f>
        <v>0.95454545454545459</v>
      </c>
      <c r="P4">
        <f>(SUM(C4:C9)+SUM(C30:C35))/([1]Diagramme_Completness!C10*2)</f>
        <v>1</v>
      </c>
      <c r="Q4">
        <f>(SUM(D4:D9)+SUM(D30:D35))/([1]Diagramme_Completness!D10*2)</f>
        <v>0.95833333333333337</v>
      </c>
      <c r="R4">
        <f>(SUM(E4:E9)+SUM(E30:E35))/([1]Diagramme_Completness!E10*2)</f>
        <v>0.9375</v>
      </c>
      <c r="S4">
        <f>(SUM(F4:F9)+SUM(F30:F35))/([1]Diagramme_Completness!F10*2)</f>
        <v>0.92753623188405798</v>
      </c>
      <c r="T4">
        <f>(SUM(G4:G9)+SUM(G30:G35))/([1]Diagramme_Completness!G10*2)</f>
        <v>0.8529411764705882</v>
      </c>
      <c r="U4">
        <f>(SUM(H4:H9)+SUM(H30:H35))/([1]Diagramme_Completness!H10*2)</f>
        <v>0.91743119266055051</v>
      </c>
      <c r="V4">
        <f>(SUM(I4:I9)+SUM(I30:I35))/([1]Diagramme_Completness!I10*2)</f>
        <v>0.78823529411764703</v>
      </c>
      <c r="W4">
        <f>(SUM(B4:B9)+SUM(D4:D9)+SUM(F4:F9)+SUM(H4:H9)+SUM(B30:B35)+SUM(D30:D35)+SUM(F30:F35)+SUM(H30:H35))/([1]Diagramme_Completness!J10*2)</f>
        <v>0.93008474576271183</v>
      </c>
      <c r="X4">
        <f>(SUM(C4:C9)+SUM(E4:E9)+SUM(G4:G9)+SUM(I4:I9)+SUM(C30:C35)+SUM(E30:E35)+SUM(G30:G35)+SUM(I30:I35))/([1]Diagramme_Completness!K10*2)</f>
        <v>0.8411764705882353</v>
      </c>
    </row>
    <row r="5" spans="1:24" ht="13.9" customHeight="1">
      <c r="A5" t="s">
        <v>9</v>
      </c>
      <c r="B5" s="2">
        <v>5</v>
      </c>
      <c r="C5" s="2">
        <v>4</v>
      </c>
      <c r="D5" s="2">
        <v>7</v>
      </c>
      <c r="E5" s="2">
        <v>6</v>
      </c>
      <c r="F5" s="2">
        <v>14</v>
      </c>
      <c r="G5" s="2">
        <v>10</v>
      </c>
      <c r="H5" s="2">
        <v>28</v>
      </c>
      <c r="I5" s="2">
        <v>22</v>
      </c>
      <c r="K5">
        <f t="shared" ref="K5:L9" si="0">B5+D5+F5+H5</f>
        <v>54</v>
      </c>
      <c r="L5">
        <f t="shared" si="0"/>
        <v>42</v>
      </c>
      <c r="N5" t="s">
        <v>71</v>
      </c>
      <c r="O5">
        <f>(SUM(B17:B22)+SUM(B43:B48))/([1]Diagramme_Completness!B10*2)</f>
        <v>0.95454545454545459</v>
      </c>
      <c r="P5">
        <f>(SUM(C17:C22)+SUM(C43:C48))/([1]Diagramme_Completness!C10*2)</f>
        <v>1</v>
      </c>
      <c r="Q5">
        <f>(SUM(D17:D22)+SUM(D43:D48))/([1]Diagramme_Completness!D10*2)</f>
        <v>0.94444444444444442</v>
      </c>
      <c r="R5">
        <f>(SUM(E17:E22)+SUM(E43:E48))/([1]Diagramme_Completness!E10*2)</f>
        <v>1</v>
      </c>
      <c r="S5">
        <f>(SUM(F17:F22)+SUM(F43:F48))/([1]Diagramme_Completness!F10*2)</f>
        <v>0.96376811594202894</v>
      </c>
      <c r="T5">
        <f>(SUM(G17:G22)+SUM(G43:G48))/([1]Diagramme_Completness!G10*2)</f>
        <v>0.91176470588235292</v>
      </c>
      <c r="U5">
        <f>(SUM(H17:H22)+SUM(H43:H48))/([1]Diagramme_Completness!H10*2)</f>
        <v>0.94495412844036697</v>
      </c>
      <c r="V5">
        <f>(SUM(I17:I22)+SUM(I43:I48))/([1]Diagramme_Completness!I10*2)</f>
        <v>0.82352941176470584</v>
      </c>
      <c r="W5">
        <f>(SUM(K17:K22)+SUM(K43:K48))/([1]Diagramme_Completness!J10*2)</f>
        <v>0.95127118644067798</v>
      </c>
      <c r="X5">
        <f>(SUM(L17:L22)+SUM(L43:L48))/([1]Diagramme_Completness!K10*2)</f>
        <v>0.88529411764705879</v>
      </c>
    </row>
    <row r="6" spans="1:24" ht="13.9" customHeight="1">
      <c r="A6" t="s">
        <v>10</v>
      </c>
      <c r="B6" s="2">
        <v>6</v>
      </c>
      <c r="C6" s="2">
        <v>0</v>
      </c>
      <c r="D6" s="2">
        <v>9</v>
      </c>
      <c r="E6" s="2">
        <v>3</v>
      </c>
      <c r="F6" s="2">
        <v>16</v>
      </c>
      <c r="G6" s="2">
        <v>6</v>
      </c>
      <c r="H6">
        <v>29</v>
      </c>
      <c r="I6">
        <v>14</v>
      </c>
      <c r="K6">
        <f t="shared" si="0"/>
        <v>60</v>
      </c>
      <c r="L6">
        <f t="shared" si="0"/>
        <v>23</v>
      </c>
    </row>
    <row r="7" spans="1:24" ht="13.9" customHeight="1">
      <c r="A7" t="s">
        <v>11</v>
      </c>
      <c r="B7" s="6">
        <v>2</v>
      </c>
      <c r="C7" s="6">
        <v>1</v>
      </c>
      <c r="D7" s="6">
        <v>4</v>
      </c>
      <c r="E7" s="6">
        <v>3</v>
      </c>
      <c r="F7" s="6">
        <v>9</v>
      </c>
      <c r="G7" s="6">
        <v>8</v>
      </c>
      <c r="H7" s="6">
        <v>11</v>
      </c>
      <c r="I7" s="6">
        <v>9</v>
      </c>
      <c r="K7">
        <f t="shared" si="0"/>
        <v>26</v>
      </c>
      <c r="L7">
        <f t="shared" si="0"/>
        <v>21</v>
      </c>
    </row>
    <row r="8" spans="1:24" ht="13.9" customHeight="1">
      <c r="A8" t="s">
        <v>12</v>
      </c>
      <c r="B8" s="6">
        <v>4</v>
      </c>
      <c r="C8" s="6">
        <v>3</v>
      </c>
      <c r="D8" s="6">
        <v>7</v>
      </c>
      <c r="E8" s="6">
        <v>6</v>
      </c>
      <c r="F8" s="6">
        <v>10</v>
      </c>
      <c r="G8" s="6">
        <v>9</v>
      </c>
      <c r="H8" s="6">
        <v>13</v>
      </c>
      <c r="I8" s="6">
        <v>8</v>
      </c>
      <c r="K8">
        <f t="shared" si="0"/>
        <v>34</v>
      </c>
      <c r="L8">
        <f t="shared" si="0"/>
        <v>26</v>
      </c>
    </row>
    <row r="9" spans="1:24" ht="13.9" customHeight="1">
      <c r="A9" t="s">
        <v>13</v>
      </c>
      <c r="B9" s="6">
        <v>2</v>
      </c>
      <c r="C9" s="6">
        <v>1</v>
      </c>
      <c r="D9" s="6">
        <v>5</v>
      </c>
      <c r="E9" s="6">
        <v>4</v>
      </c>
      <c r="F9" s="6">
        <v>9</v>
      </c>
      <c r="G9" s="6">
        <v>6</v>
      </c>
      <c r="H9" s="6">
        <v>12</v>
      </c>
      <c r="I9" s="6">
        <v>6</v>
      </c>
      <c r="K9">
        <f t="shared" si="0"/>
        <v>28</v>
      </c>
      <c r="L9">
        <f t="shared" si="0"/>
        <v>17</v>
      </c>
    </row>
    <row r="11" spans="1:24" ht="13.9" customHeight="1">
      <c r="B11">
        <f>SUM(B4:B9)/22</f>
        <v>0.95454545454545459</v>
      </c>
      <c r="C11">
        <f>SUM(C4:C9)/10</f>
        <v>1</v>
      </c>
      <c r="D11">
        <f>SUM(D4:D9)/36</f>
        <v>0.97222222222222221</v>
      </c>
      <c r="E11">
        <f>SUM(E4:E9)/24</f>
        <v>1</v>
      </c>
      <c r="F11">
        <f>SUM(F4:F9)/69</f>
        <v>0.95652173913043481</v>
      </c>
      <c r="G11">
        <f>SUM(G4:G9)/51</f>
        <v>0.90196078431372551</v>
      </c>
      <c r="H11">
        <f>SUM(H4:H9)/109</f>
        <v>0.96330275229357798</v>
      </c>
      <c r="I11">
        <f>SUM(I4:I9)/85</f>
        <v>0.82352941176470584</v>
      </c>
    </row>
    <row r="14" spans="1:24" ht="13.9" customHeight="1">
      <c r="A14" t="s">
        <v>14</v>
      </c>
    </row>
    <row r="15" spans="1:24" ht="13.9" customHeight="1">
      <c r="F15">
        <v>7</v>
      </c>
      <c r="G15">
        <v>6</v>
      </c>
    </row>
    <row r="16" spans="1:24" ht="13.9" customHeight="1">
      <c r="B16" t="s">
        <v>1</v>
      </c>
      <c r="D16" t="s">
        <v>2</v>
      </c>
      <c r="F16" t="s">
        <v>17</v>
      </c>
      <c r="H16" t="s">
        <v>18</v>
      </c>
      <c r="K16" t="s">
        <v>20</v>
      </c>
      <c r="L16" t="s">
        <v>21</v>
      </c>
    </row>
    <row r="17" spans="1:12" ht="13.9" customHeight="1">
      <c r="A17" t="s">
        <v>8</v>
      </c>
      <c r="B17" s="2">
        <v>2</v>
      </c>
      <c r="C17" s="2">
        <v>1</v>
      </c>
      <c r="D17" s="2">
        <v>3</v>
      </c>
      <c r="E17" s="2">
        <v>2</v>
      </c>
      <c r="F17" s="2">
        <v>8</v>
      </c>
      <c r="G17" s="2">
        <v>7</v>
      </c>
      <c r="H17" s="2">
        <v>12</v>
      </c>
      <c r="I17" s="2">
        <v>11</v>
      </c>
      <c r="K17">
        <f>B17+D17+F17+H17</f>
        <v>25</v>
      </c>
      <c r="L17">
        <f>C17+E17+G17+I17</f>
        <v>21</v>
      </c>
    </row>
    <row r="18" spans="1:12" ht="13.9" customHeight="1">
      <c r="A18" t="s">
        <v>9</v>
      </c>
      <c r="B18" s="2">
        <v>5</v>
      </c>
      <c r="C18" s="2">
        <v>4</v>
      </c>
      <c r="D18" s="2">
        <v>7</v>
      </c>
      <c r="E18" s="2">
        <v>6</v>
      </c>
      <c r="F18" s="2">
        <v>14</v>
      </c>
      <c r="G18" s="2">
        <v>11</v>
      </c>
      <c r="H18" s="2">
        <v>28</v>
      </c>
      <c r="I18" s="2">
        <v>23</v>
      </c>
      <c r="K18">
        <f t="shared" ref="K18:L22" si="1">B18+D18+F18+H18</f>
        <v>54</v>
      </c>
      <c r="L18">
        <f t="shared" si="1"/>
        <v>44</v>
      </c>
    </row>
    <row r="19" spans="1:12" ht="13.9" customHeight="1">
      <c r="A19" t="s">
        <v>10</v>
      </c>
      <c r="B19" s="2">
        <v>6</v>
      </c>
      <c r="C19" s="2">
        <v>0</v>
      </c>
      <c r="D19" s="2">
        <v>9</v>
      </c>
      <c r="E19" s="2">
        <v>3</v>
      </c>
      <c r="F19" s="2">
        <v>17</v>
      </c>
      <c r="G19" s="2">
        <v>7</v>
      </c>
      <c r="H19" s="2">
        <v>28</v>
      </c>
      <c r="I19" s="2">
        <v>15</v>
      </c>
      <c r="K19">
        <f t="shared" si="1"/>
        <v>60</v>
      </c>
      <c r="L19">
        <f t="shared" si="1"/>
        <v>25</v>
      </c>
    </row>
    <row r="20" spans="1:12" ht="13.9" customHeight="1">
      <c r="A20" t="s">
        <v>11</v>
      </c>
      <c r="B20" s="4">
        <v>2</v>
      </c>
      <c r="C20" s="4">
        <v>1</v>
      </c>
      <c r="D20" s="4">
        <v>3</v>
      </c>
      <c r="E20" s="4">
        <v>3</v>
      </c>
      <c r="F20" s="4">
        <v>9</v>
      </c>
      <c r="G20" s="4">
        <v>8</v>
      </c>
      <c r="H20" s="4">
        <v>13</v>
      </c>
      <c r="I20" s="4">
        <v>12</v>
      </c>
      <c r="K20">
        <f t="shared" si="1"/>
        <v>27</v>
      </c>
      <c r="L20">
        <f t="shared" si="1"/>
        <v>24</v>
      </c>
    </row>
    <row r="21" spans="1:12" ht="13.9" customHeight="1">
      <c r="A21" t="s">
        <v>12</v>
      </c>
      <c r="B21" s="4">
        <v>4</v>
      </c>
      <c r="C21" s="4">
        <v>3</v>
      </c>
      <c r="D21" s="4">
        <v>7</v>
      </c>
      <c r="E21" s="4">
        <v>6</v>
      </c>
      <c r="F21" s="4">
        <v>11</v>
      </c>
      <c r="G21" s="4">
        <v>9</v>
      </c>
      <c r="H21" s="4">
        <v>11</v>
      </c>
      <c r="I21" s="4">
        <v>6</v>
      </c>
      <c r="K21">
        <f t="shared" si="1"/>
        <v>33</v>
      </c>
      <c r="L21">
        <f t="shared" si="1"/>
        <v>24</v>
      </c>
    </row>
    <row r="22" spans="1:12" ht="13.9" customHeight="1">
      <c r="A22" t="s">
        <v>13</v>
      </c>
      <c r="B22" s="4">
        <v>2</v>
      </c>
      <c r="C22" s="4">
        <v>1</v>
      </c>
      <c r="D22" s="4">
        <v>5</v>
      </c>
      <c r="E22" s="4">
        <v>4</v>
      </c>
      <c r="F22" s="4">
        <v>9</v>
      </c>
      <c r="G22" s="4">
        <v>6</v>
      </c>
      <c r="H22" s="4">
        <v>12</v>
      </c>
      <c r="I22" s="4">
        <v>6</v>
      </c>
      <c r="K22">
        <f t="shared" si="1"/>
        <v>28</v>
      </c>
      <c r="L22">
        <f t="shared" si="1"/>
        <v>17</v>
      </c>
    </row>
    <row r="24" spans="1:12" ht="13.9" customHeight="1">
      <c r="B24">
        <f>SUM(B17:B22)/22</f>
        <v>0.95454545454545459</v>
      </c>
      <c r="C24">
        <f>SUM(C17:C22)/10</f>
        <v>1</v>
      </c>
      <c r="D24">
        <f>SUM(D17:D22)/36</f>
        <v>0.94444444444444442</v>
      </c>
      <c r="E24">
        <f>SUM(E17:E22)/24</f>
        <v>1</v>
      </c>
      <c r="F24">
        <f>SUM(F17:F22)/69</f>
        <v>0.98550724637681164</v>
      </c>
      <c r="G24">
        <f>SUM(G17:G22)/51</f>
        <v>0.94117647058823528</v>
      </c>
      <c r="H24">
        <f>SUM(H17:H22)/109</f>
        <v>0.95412844036697253</v>
      </c>
      <c r="I24">
        <f>SUM(I17:I22)/85</f>
        <v>0.85882352941176465</v>
      </c>
    </row>
    <row r="27" spans="1:12" ht="13.9" customHeight="1">
      <c r="A27" t="s">
        <v>15</v>
      </c>
    </row>
    <row r="29" spans="1:12" ht="13.9" customHeight="1">
      <c r="B29" t="s">
        <v>1</v>
      </c>
      <c r="D29" t="s">
        <v>2</v>
      </c>
      <c r="F29" t="s">
        <v>17</v>
      </c>
      <c r="H29" t="s">
        <v>18</v>
      </c>
      <c r="K29" t="s">
        <v>20</v>
      </c>
      <c r="L29" t="s">
        <v>21</v>
      </c>
    </row>
    <row r="30" spans="1:12" ht="13.9" customHeight="1">
      <c r="A30" t="s">
        <v>8</v>
      </c>
      <c r="B30" s="2">
        <v>2</v>
      </c>
      <c r="C30" s="2">
        <v>1</v>
      </c>
      <c r="D30" s="2">
        <v>3</v>
      </c>
      <c r="E30" s="2">
        <v>0</v>
      </c>
      <c r="F30" s="2">
        <v>7</v>
      </c>
      <c r="G30" s="2">
        <v>4</v>
      </c>
      <c r="H30" s="2">
        <v>0</v>
      </c>
      <c r="I30" s="2">
        <v>0</v>
      </c>
      <c r="K30">
        <f>B30+D30+F30+H30</f>
        <v>12</v>
      </c>
      <c r="L30">
        <f>C30+E30+G30+I30</f>
        <v>5</v>
      </c>
    </row>
    <row r="31" spans="1:12" ht="13.9" customHeight="1">
      <c r="A31" t="s">
        <v>9</v>
      </c>
      <c r="B31" s="2">
        <v>5</v>
      </c>
      <c r="C31" s="2">
        <v>4</v>
      </c>
      <c r="D31" s="2">
        <v>7</v>
      </c>
      <c r="E31" s="2">
        <v>6</v>
      </c>
      <c r="F31" s="2">
        <v>12</v>
      </c>
      <c r="G31" s="2">
        <v>10</v>
      </c>
      <c r="H31" s="2">
        <v>28</v>
      </c>
      <c r="I31" s="2">
        <v>21</v>
      </c>
      <c r="K31">
        <f t="shared" ref="K31:L35" si="2">B31+D31+F31+H31</f>
        <v>52</v>
      </c>
      <c r="L31">
        <f t="shared" si="2"/>
        <v>41</v>
      </c>
    </row>
    <row r="32" spans="1:12" ht="13.9" customHeight="1">
      <c r="A32" t="s">
        <v>10</v>
      </c>
      <c r="B32" s="2">
        <v>6</v>
      </c>
      <c r="C32" s="2">
        <v>0</v>
      </c>
      <c r="D32" s="2">
        <v>8</v>
      </c>
      <c r="E32" s="2">
        <v>2</v>
      </c>
      <c r="F32" s="2">
        <v>14</v>
      </c>
      <c r="G32" s="2">
        <v>4</v>
      </c>
      <c r="H32" s="2">
        <v>28</v>
      </c>
      <c r="I32" s="2">
        <v>16</v>
      </c>
      <c r="K32">
        <f t="shared" si="2"/>
        <v>56</v>
      </c>
      <c r="L32">
        <f t="shared" si="2"/>
        <v>22</v>
      </c>
    </row>
    <row r="33" spans="1:12" ht="13.9" customHeight="1">
      <c r="A33" t="s">
        <v>11</v>
      </c>
      <c r="B33" s="6">
        <v>2</v>
      </c>
      <c r="C33" s="6">
        <v>1</v>
      </c>
      <c r="D33" s="6">
        <v>4</v>
      </c>
      <c r="E33" s="6">
        <v>3</v>
      </c>
      <c r="F33" s="6">
        <v>9</v>
      </c>
      <c r="G33" s="6">
        <v>8</v>
      </c>
      <c r="H33" s="6">
        <v>13</v>
      </c>
      <c r="I33" s="6">
        <v>12</v>
      </c>
      <c r="K33">
        <f t="shared" si="2"/>
        <v>28</v>
      </c>
      <c r="L33">
        <f t="shared" si="2"/>
        <v>24</v>
      </c>
    </row>
    <row r="34" spans="1:12" ht="13.9" customHeight="1">
      <c r="A34" t="s">
        <v>12</v>
      </c>
      <c r="B34" s="6">
        <v>4</v>
      </c>
      <c r="C34" s="6">
        <v>3</v>
      </c>
      <c r="D34" s="6">
        <v>7</v>
      </c>
      <c r="E34" s="6">
        <v>6</v>
      </c>
      <c r="F34" s="6">
        <v>11</v>
      </c>
      <c r="G34" s="6">
        <v>9</v>
      </c>
      <c r="H34" s="6">
        <v>14</v>
      </c>
      <c r="I34" s="6">
        <v>9</v>
      </c>
      <c r="K34">
        <f t="shared" si="2"/>
        <v>36</v>
      </c>
      <c r="L34">
        <f t="shared" si="2"/>
        <v>27</v>
      </c>
    </row>
    <row r="35" spans="1:12" ht="13.9" customHeight="1">
      <c r="A35" t="s">
        <v>13</v>
      </c>
      <c r="B35" s="6">
        <v>2</v>
      </c>
      <c r="C35" s="6">
        <v>1</v>
      </c>
      <c r="D35" s="6">
        <v>5</v>
      </c>
      <c r="E35" s="6">
        <v>4</v>
      </c>
      <c r="F35" s="6">
        <v>9</v>
      </c>
      <c r="G35" s="6">
        <v>6</v>
      </c>
      <c r="H35" s="6">
        <v>12</v>
      </c>
      <c r="I35" s="6">
        <v>6</v>
      </c>
      <c r="K35">
        <f t="shared" si="2"/>
        <v>28</v>
      </c>
      <c r="L35">
        <f t="shared" si="2"/>
        <v>17</v>
      </c>
    </row>
    <row r="37" spans="1:12" ht="13.9" customHeight="1">
      <c r="B37">
        <f>SUM(B30:B35)/22</f>
        <v>0.95454545454545459</v>
      </c>
      <c r="C37">
        <f>SUM(C30:C35)/10</f>
        <v>1</v>
      </c>
      <c r="D37">
        <f>SUM(D30:D35)/36</f>
        <v>0.94444444444444442</v>
      </c>
      <c r="E37">
        <f>SUM(E30:E35)/24</f>
        <v>0.875</v>
      </c>
      <c r="F37">
        <f>SUM(F30:F35)/69</f>
        <v>0.89855072463768115</v>
      </c>
      <c r="G37">
        <f>SUM(G30:G35)/51</f>
        <v>0.80392156862745101</v>
      </c>
      <c r="H37">
        <f>SUM(H30:H35)/109</f>
        <v>0.87155963302752293</v>
      </c>
      <c r="I37">
        <f>SUM(I30:I35)/85</f>
        <v>0.75294117647058822</v>
      </c>
    </row>
    <row r="40" spans="1:12" ht="13.9" customHeight="1">
      <c r="A40" t="s">
        <v>16</v>
      </c>
    </row>
    <row r="42" spans="1:12" ht="13.9" customHeight="1">
      <c r="B42" t="s">
        <v>1</v>
      </c>
      <c r="D42" t="s">
        <v>2</v>
      </c>
      <c r="F42" t="s">
        <v>17</v>
      </c>
      <c r="H42" t="s">
        <v>18</v>
      </c>
      <c r="K42" t="s">
        <v>20</v>
      </c>
      <c r="L42" t="s">
        <v>21</v>
      </c>
    </row>
    <row r="43" spans="1:12" ht="13.9" customHeight="1">
      <c r="A43" t="s">
        <v>8</v>
      </c>
      <c r="B43" s="2">
        <v>2</v>
      </c>
      <c r="C43" s="2">
        <v>1</v>
      </c>
      <c r="D43" s="2">
        <v>3</v>
      </c>
      <c r="E43" s="2">
        <v>2</v>
      </c>
      <c r="F43" s="2">
        <v>8</v>
      </c>
      <c r="G43" s="2">
        <v>7</v>
      </c>
      <c r="H43" s="2">
        <v>12</v>
      </c>
      <c r="I43" s="2">
        <v>11</v>
      </c>
      <c r="K43">
        <f>B43+D43+F43+H43</f>
        <v>25</v>
      </c>
      <c r="L43">
        <f>C43+E43+G43+I43</f>
        <v>21</v>
      </c>
    </row>
    <row r="44" spans="1:12" ht="13.9" customHeight="1">
      <c r="A44" t="s">
        <v>9</v>
      </c>
      <c r="B44" s="2">
        <v>5</v>
      </c>
      <c r="C44" s="2">
        <v>4</v>
      </c>
      <c r="D44" s="2">
        <v>7</v>
      </c>
      <c r="E44" s="2">
        <v>6</v>
      </c>
      <c r="F44" s="2">
        <v>12</v>
      </c>
      <c r="G44" s="2">
        <v>12</v>
      </c>
      <c r="H44" s="2">
        <v>26</v>
      </c>
      <c r="I44" s="2">
        <v>22</v>
      </c>
      <c r="K44">
        <f t="shared" ref="K44:L48" si="3">B44+D44+F44+H44</f>
        <v>50</v>
      </c>
      <c r="L44">
        <f t="shared" si="3"/>
        <v>44</v>
      </c>
    </row>
    <row r="45" spans="1:12" ht="13.9" customHeight="1">
      <c r="A45" t="s">
        <v>10</v>
      </c>
      <c r="B45" s="2">
        <v>6</v>
      </c>
      <c r="C45" s="2">
        <v>0</v>
      </c>
      <c r="D45" s="2">
        <v>8</v>
      </c>
      <c r="E45" s="2">
        <v>3</v>
      </c>
      <c r="F45" s="2">
        <v>17</v>
      </c>
      <c r="G45" s="2">
        <v>7</v>
      </c>
      <c r="H45" s="2">
        <v>29</v>
      </c>
      <c r="I45" s="2">
        <v>16</v>
      </c>
      <c r="K45">
        <f t="shared" si="3"/>
        <v>60</v>
      </c>
      <c r="L45">
        <f t="shared" si="3"/>
        <v>26</v>
      </c>
    </row>
    <row r="46" spans="1:12" ht="13.9" customHeight="1">
      <c r="A46" t="s">
        <v>11</v>
      </c>
      <c r="B46" s="4">
        <v>2</v>
      </c>
      <c r="C46" s="4">
        <v>1</v>
      </c>
      <c r="D46" s="4">
        <v>4</v>
      </c>
      <c r="E46" s="4">
        <v>3</v>
      </c>
      <c r="F46" s="4">
        <v>9</v>
      </c>
      <c r="G46" s="4">
        <v>5</v>
      </c>
      <c r="H46" s="4">
        <v>12</v>
      </c>
      <c r="I46" s="4">
        <v>6</v>
      </c>
      <c r="K46">
        <f t="shared" si="3"/>
        <v>27</v>
      </c>
      <c r="L46">
        <f t="shared" si="3"/>
        <v>15</v>
      </c>
    </row>
    <row r="47" spans="1:12" ht="13.9" customHeight="1">
      <c r="A47" t="s">
        <v>12</v>
      </c>
      <c r="B47" s="4">
        <v>4</v>
      </c>
      <c r="C47" s="4">
        <v>3</v>
      </c>
      <c r="D47" s="4">
        <v>7</v>
      </c>
      <c r="E47" s="4">
        <v>6</v>
      </c>
      <c r="F47" s="4">
        <v>10</v>
      </c>
      <c r="G47" s="4">
        <v>8</v>
      </c>
      <c r="H47" s="4">
        <v>11</v>
      </c>
      <c r="I47" s="4">
        <v>6</v>
      </c>
      <c r="K47">
        <f t="shared" si="3"/>
        <v>32</v>
      </c>
      <c r="L47">
        <f t="shared" si="3"/>
        <v>23</v>
      </c>
    </row>
    <row r="48" spans="1:12" ht="13.9" customHeight="1">
      <c r="A48" t="s">
        <v>13</v>
      </c>
      <c r="B48" s="4">
        <v>2</v>
      </c>
      <c r="C48" s="4">
        <v>1</v>
      </c>
      <c r="D48" s="4">
        <v>5</v>
      </c>
      <c r="E48" s="4">
        <v>4</v>
      </c>
      <c r="F48" s="4">
        <v>9</v>
      </c>
      <c r="G48" s="4">
        <v>6</v>
      </c>
      <c r="H48" s="4">
        <v>12</v>
      </c>
      <c r="I48" s="4">
        <v>6</v>
      </c>
      <c r="K48">
        <f t="shared" si="3"/>
        <v>28</v>
      </c>
      <c r="L48">
        <f t="shared" si="3"/>
        <v>17</v>
      </c>
    </row>
    <row r="50" spans="2:9" ht="14.5">
      <c r="B50">
        <f>SUM(B43:B48)/22</f>
        <v>0.95454545454545459</v>
      </c>
      <c r="C50">
        <f>SUM(C43:C48)/10</f>
        <v>1</v>
      </c>
      <c r="D50">
        <f>SUM(D43:D48)/36</f>
        <v>0.94444444444444442</v>
      </c>
      <c r="E50">
        <f>SUM(E43:E48)/24</f>
        <v>1</v>
      </c>
      <c r="F50">
        <f>SUM(F43:F48)/69</f>
        <v>0.94202898550724634</v>
      </c>
      <c r="G50">
        <f>SUM(G43:G48)/51</f>
        <v>0.88235294117647056</v>
      </c>
      <c r="H50">
        <f>SUM(H43:H48)/109</f>
        <v>0.93577981651376152</v>
      </c>
      <c r="I50">
        <f>SUM(I43:I48)/85</f>
        <v>0.78823529411764703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8599-70C3-46FA-8DE0-9B4118DFED0D}">
  <dimension ref="A1:Z53"/>
  <sheetViews>
    <sheetView zoomScale="109" zoomScaleNormal="85" workbookViewId="0">
      <selection activeCell="L26" sqref="L26"/>
    </sheetView>
  </sheetViews>
  <sheetFormatPr baseColWidth="10" defaultColWidth="11.54296875" defaultRowHeight="13.9" customHeight="1"/>
  <cols>
    <col min="1" max="9" width="10.453125" customWidth="1"/>
    <col min="10" max="10" width="11.453125" style="1" customWidth="1"/>
    <col min="11" max="12" width="10.453125" customWidth="1"/>
  </cols>
  <sheetData>
    <row r="1" spans="1:17" ht="13.9" customHeight="1">
      <c r="A1" t="s">
        <v>0</v>
      </c>
    </row>
    <row r="3" spans="1:17" ht="13.9" customHeight="1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17" ht="13.9" customHeight="1">
      <c r="A4" t="s">
        <v>8</v>
      </c>
      <c r="B4" s="2">
        <v>5</v>
      </c>
      <c r="C4" s="2">
        <v>5</v>
      </c>
      <c r="D4" s="2">
        <v>4</v>
      </c>
      <c r="F4" s="2">
        <v>4</v>
      </c>
      <c r="J4" s="1">
        <f>SUM(B4:H4)/4</f>
        <v>4.5</v>
      </c>
    </row>
    <row r="5" spans="1:17" ht="13.9" customHeight="1">
      <c r="A5" t="s">
        <v>9</v>
      </c>
      <c r="B5" s="2">
        <v>3</v>
      </c>
      <c r="C5" s="2">
        <v>3</v>
      </c>
      <c r="D5" s="2">
        <v>3</v>
      </c>
      <c r="E5" s="2">
        <v>2</v>
      </c>
      <c r="F5" s="2">
        <v>3</v>
      </c>
      <c r="G5" s="2">
        <v>2</v>
      </c>
      <c r="H5" s="2">
        <v>4</v>
      </c>
      <c r="J5" s="1">
        <f>SUM(B5:H5)/7</f>
        <v>2.8571428571428572</v>
      </c>
    </row>
    <row r="6" spans="1:17" ht="13.9" customHeight="1">
      <c r="A6" t="s">
        <v>10</v>
      </c>
      <c r="B6" s="2">
        <v>5</v>
      </c>
      <c r="C6" s="2">
        <v>5</v>
      </c>
      <c r="D6" s="2">
        <v>3</v>
      </c>
      <c r="F6" s="2">
        <v>3</v>
      </c>
      <c r="J6" s="1">
        <f>SUM(B6:H6)/4</f>
        <v>4</v>
      </c>
      <c r="M6" t="s">
        <v>1</v>
      </c>
      <c r="N6" t="s">
        <v>2</v>
      </c>
      <c r="O6" t="s">
        <v>17</v>
      </c>
      <c r="P6" t="s">
        <v>18</v>
      </c>
      <c r="Q6" t="s">
        <v>19</v>
      </c>
    </row>
    <row r="7" spans="1:17" ht="13.9" customHeight="1">
      <c r="A7" t="s">
        <v>11</v>
      </c>
      <c r="B7" s="6">
        <v>5</v>
      </c>
      <c r="C7" s="6">
        <v>5</v>
      </c>
      <c r="D7" s="6">
        <v>3</v>
      </c>
      <c r="E7" s="5"/>
      <c r="F7" s="6">
        <v>4</v>
      </c>
      <c r="J7" s="1">
        <f>SUM(B7:H7)/4</f>
        <v>4.25</v>
      </c>
      <c r="L7" t="s">
        <v>70</v>
      </c>
      <c r="M7">
        <f>(SUM(B4:B9)+SUM(B30:B35))/12</f>
        <v>4.583333333333333</v>
      </c>
      <c r="N7">
        <f>(SUM(C4:C9)+SUM(C30:C35))/12</f>
        <v>3.8333333333333335</v>
      </c>
      <c r="O7">
        <f>(SUM(D4:E9)+SUM(D30:E35))/14</f>
        <v>2.9285714285714284</v>
      </c>
      <c r="P7">
        <f>(SUM(F4:H9)+SUM(F30:H35))/16</f>
        <v>2.6875</v>
      </c>
      <c r="Q7">
        <f>(SUM(B4:H9)+SUM(B30:H35))/54</f>
        <v>3.425925925925926</v>
      </c>
    </row>
    <row r="8" spans="1:17" ht="13.9" customHeight="1">
      <c r="A8" t="s">
        <v>12</v>
      </c>
      <c r="B8" s="6">
        <v>5</v>
      </c>
      <c r="C8" s="6">
        <v>3</v>
      </c>
      <c r="D8" s="6">
        <v>3</v>
      </c>
      <c r="E8" s="5"/>
      <c r="F8" s="6">
        <v>3</v>
      </c>
      <c r="J8" s="1">
        <f>SUM(B8:H8)/4</f>
        <v>3.5</v>
      </c>
      <c r="L8" t="s">
        <v>71</v>
      </c>
      <c r="M8">
        <f>(SUM(B17:B22)+SUM(B43:B48))/12</f>
        <v>4.5</v>
      </c>
      <c r="N8">
        <f>(SUM(C17:C22)+SUM(C43:C48))/12</f>
        <v>3.9166666666666665</v>
      </c>
      <c r="O8">
        <f>(SUM(D17:E22)+SUM(D43:E48))/14</f>
        <v>3.7857142857142856</v>
      </c>
      <c r="P8">
        <f>(SUM(F17:H22)+SUM(F43:H48))/16</f>
        <v>3.375</v>
      </c>
      <c r="Q8">
        <f>(SUM(B17:H22)+SUM(B43:H48))/54</f>
        <v>3.8518518518518516</v>
      </c>
    </row>
    <row r="9" spans="1:17" ht="13.9" customHeight="1">
      <c r="A9" t="s">
        <v>13</v>
      </c>
      <c r="B9" s="6">
        <v>4</v>
      </c>
      <c r="C9" s="6">
        <v>5</v>
      </c>
      <c r="D9" s="6">
        <v>3</v>
      </c>
      <c r="E9" s="5"/>
      <c r="F9" s="6">
        <v>2</v>
      </c>
      <c r="J9" s="1">
        <f>SUM(B9:H9)/4</f>
        <v>3.5</v>
      </c>
    </row>
    <row r="11" spans="1:17" ht="13.9" customHeight="1">
      <c r="A11" s="1"/>
      <c r="B11" s="1">
        <f>SUM(B4:B9)/6</f>
        <v>4.5</v>
      </c>
      <c r="C11" s="1">
        <f>SUM(C4:C9)/6</f>
        <v>4.333333333333333</v>
      </c>
      <c r="D11" s="1">
        <f>SUM(D4:D9)/6</f>
        <v>3.1666666666666665</v>
      </c>
      <c r="E11" s="1">
        <f>SUM(E4:E9)/1</f>
        <v>2</v>
      </c>
      <c r="F11" s="1">
        <f>SUM(F4:F9)/6</f>
        <v>3.1666666666666665</v>
      </c>
      <c r="G11" s="1">
        <f>SUM(G4:G9)/1</f>
        <v>2</v>
      </c>
      <c r="H11" s="1">
        <f>SUM(H4:H9)/1</f>
        <v>4</v>
      </c>
      <c r="I11" s="1"/>
      <c r="K11" s="1"/>
      <c r="L11" s="1"/>
    </row>
    <row r="14" spans="1:17" ht="13.9" customHeight="1">
      <c r="A14" t="s">
        <v>14</v>
      </c>
    </row>
    <row r="16" spans="1:17" ht="13.9" customHeight="1"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12" ht="13.9" customHeight="1">
      <c r="A17" t="s">
        <v>8</v>
      </c>
      <c r="B17" s="2">
        <v>5</v>
      </c>
      <c r="C17" s="2">
        <v>5</v>
      </c>
      <c r="D17" s="2">
        <v>5</v>
      </c>
      <c r="F17" s="2">
        <v>4</v>
      </c>
      <c r="J17" s="1">
        <f>SUM(B17:H17)/4</f>
        <v>4.75</v>
      </c>
    </row>
    <row r="18" spans="1:12" ht="13.9" customHeight="1">
      <c r="A18" t="s">
        <v>9</v>
      </c>
      <c r="B18" s="2">
        <v>3</v>
      </c>
      <c r="C18" s="2">
        <v>3</v>
      </c>
      <c r="D18" s="2">
        <v>3</v>
      </c>
      <c r="E18" s="2">
        <v>3</v>
      </c>
      <c r="F18" s="2">
        <v>3</v>
      </c>
      <c r="G18" s="2">
        <v>3</v>
      </c>
      <c r="H18" s="2">
        <v>4</v>
      </c>
      <c r="J18" s="1">
        <f>SUM(B18:H18)/7</f>
        <v>3.1428571428571428</v>
      </c>
    </row>
    <row r="19" spans="1:12" ht="13.9" customHeight="1">
      <c r="A19" t="s">
        <v>10</v>
      </c>
      <c r="B19" s="2">
        <v>5</v>
      </c>
      <c r="C19" s="2">
        <v>5</v>
      </c>
      <c r="D19" s="2">
        <v>5</v>
      </c>
      <c r="F19" s="2">
        <v>3</v>
      </c>
      <c r="J19" s="1">
        <f>SUM(B19:H19)/4</f>
        <v>4.5</v>
      </c>
    </row>
    <row r="20" spans="1:12" ht="13.9" customHeight="1">
      <c r="A20" t="s">
        <v>11</v>
      </c>
      <c r="B20" s="4">
        <v>4</v>
      </c>
      <c r="C20" s="4">
        <v>3</v>
      </c>
      <c r="D20" s="4">
        <v>5</v>
      </c>
      <c r="F20" s="4">
        <v>4</v>
      </c>
      <c r="J20" s="1">
        <f>SUM(B20:H20)/4</f>
        <v>4</v>
      </c>
    </row>
    <row r="21" spans="1:12" ht="13.9" customHeight="1">
      <c r="A21" t="s">
        <v>12</v>
      </c>
      <c r="B21" s="4">
        <v>5</v>
      </c>
      <c r="C21" s="4">
        <v>3</v>
      </c>
      <c r="D21" s="4">
        <v>3</v>
      </c>
      <c r="F21" s="4">
        <v>3</v>
      </c>
      <c r="J21" s="1">
        <f>SUM(B21:H21)/4</f>
        <v>3.5</v>
      </c>
    </row>
    <row r="22" spans="1:12" ht="13.9" customHeight="1">
      <c r="A22" t="s">
        <v>13</v>
      </c>
      <c r="B22" s="4">
        <v>4</v>
      </c>
      <c r="C22" s="4">
        <v>5</v>
      </c>
      <c r="D22" s="4">
        <v>3</v>
      </c>
      <c r="F22" s="4">
        <v>2</v>
      </c>
      <c r="J22" s="1">
        <f>SUM(B22:H22)/4</f>
        <v>3.5</v>
      </c>
    </row>
    <row r="24" spans="1:12" ht="13.9" customHeight="1">
      <c r="A24" s="1"/>
      <c r="B24" s="1">
        <f>SUM(B17:B22)/6</f>
        <v>4.333333333333333</v>
      </c>
      <c r="C24" s="1">
        <f>SUM(C17:C22)/6</f>
        <v>4</v>
      </c>
      <c r="D24" s="1">
        <f>SUM(D17:D22)/6</f>
        <v>4</v>
      </c>
      <c r="E24" s="1">
        <f>SUM(E17:E22)/1</f>
        <v>3</v>
      </c>
      <c r="F24" s="1">
        <f>SUM(F17:F22)/6</f>
        <v>3.1666666666666665</v>
      </c>
      <c r="G24" s="1">
        <f>SUM(G17:G22)/1</f>
        <v>3</v>
      </c>
      <c r="H24" s="1">
        <f>SUM(H17:H22)/1</f>
        <v>4</v>
      </c>
      <c r="I24" s="1"/>
      <c r="K24" s="1"/>
      <c r="L24" s="1"/>
    </row>
    <row r="27" spans="1:12" ht="13.9" customHeight="1">
      <c r="A27" t="s">
        <v>15</v>
      </c>
    </row>
    <row r="29" spans="1:12" ht="13.9" customHeight="1"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</row>
    <row r="30" spans="1:12" ht="13.9" customHeight="1">
      <c r="A30" t="s">
        <v>8</v>
      </c>
      <c r="B30" s="2">
        <v>5</v>
      </c>
      <c r="C30" s="2">
        <v>3</v>
      </c>
      <c r="D30" s="2">
        <v>3</v>
      </c>
      <c r="F30" s="2">
        <v>1</v>
      </c>
      <c r="J30" s="1">
        <f>SUM(B30:H30)/4</f>
        <v>3</v>
      </c>
    </row>
    <row r="31" spans="1:12" ht="13.9" customHeight="1">
      <c r="A31" t="s">
        <v>9</v>
      </c>
      <c r="B31" s="2">
        <v>3</v>
      </c>
      <c r="C31" s="2">
        <v>3</v>
      </c>
      <c r="D31" s="2">
        <v>3</v>
      </c>
      <c r="E31" s="2">
        <v>2</v>
      </c>
      <c r="F31" s="2">
        <v>3</v>
      </c>
      <c r="G31" s="2">
        <v>2</v>
      </c>
      <c r="H31" s="2">
        <v>3</v>
      </c>
      <c r="J31" s="1">
        <f>SUM(B31:H31)/7</f>
        <v>2.7142857142857144</v>
      </c>
    </row>
    <row r="32" spans="1:12" ht="13.9" customHeight="1">
      <c r="A32" t="s">
        <v>10</v>
      </c>
      <c r="B32" s="2">
        <v>5</v>
      </c>
      <c r="C32" s="2">
        <v>3</v>
      </c>
      <c r="D32" s="2">
        <v>3</v>
      </c>
      <c r="F32" s="2">
        <v>3</v>
      </c>
      <c r="J32" s="1">
        <f>SUM(B32:H32)/4</f>
        <v>3.5</v>
      </c>
    </row>
    <row r="33" spans="1:12" ht="13.9" customHeight="1">
      <c r="A33" t="s">
        <v>11</v>
      </c>
      <c r="B33" s="6">
        <v>5</v>
      </c>
      <c r="C33" s="6">
        <v>3</v>
      </c>
      <c r="D33" s="6">
        <v>3</v>
      </c>
      <c r="E33" s="5"/>
      <c r="F33" s="6">
        <v>2</v>
      </c>
      <c r="J33" s="1">
        <f>SUM(B33:H33)/4</f>
        <v>3.25</v>
      </c>
    </row>
    <row r="34" spans="1:12" ht="13.9" customHeight="1">
      <c r="A34" t="s">
        <v>12</v>
      </c>
      <c r="B34" s="6">
        <v>5</v>
      </c>
      <c r="C34" s="6">
        <v>3</v>
      </c>
      <c r="D34" s="6">
        <v>3</v>
      </c>
      <c r="E34" s="5"/>
      <c r="F34" s="6">
        <v>2</v>
      </c>
      <c r="J34" s="1">
        <f>SUM(B34:H34)/4</f>
        <v>3.25</v>
      </c>
    </row>
    <row r="35" spans="1:12" ht="13.9" customHeight="1">
      <c r="A35" t="s">
        <v>13</v>
      </c>
      <c r="B35" s="6">
        <v>5</v>
      </c>
      <c r="C35" s="6">
        <v>5</v>
      </c>
      <c r="D35" s="6">
        <v>3</v>
      </c>
      <c r="E35" s="5"/>
      <c r="F35" s="6">
        <v>2</v>
      </c>
      <c r="J35" s="1">
        <f>SUM(B35:H35)/12</f>
        <v>1.25</v>
      </c>
    </row>
    <row r="37" spans="1:12" ht="13.9" customHeight="1">
      <c r="A37" s="1"/>
      <c r="B37" s="1">
        <f>SUM(B30:B35)/6</f>
        <v>4.666666666666667</v>
      </c>
      <c r="C37" s="1">
        <f>SUM(C30:C35)/6</f>
        <v>3.3333333333333335</v>
      </c>
      <c r="D37" s="1">
        <f>SUM(D30:D35)/6</f>
        <v>3</v>
      </c>
      <c r="E37" s="1">
        <f>SUM(E30:E35)/1</f>
        <v>2</v>
      </c>
      <c r="F37" s="1">
        <f>SUM(F30:F35)/6</f>
        <v>2.1666666666666665</v>
      </c>
      <c r="G37" s="1">
        <f>SUM(G30:G35)/1</f>
        <v>2</v>
      </c>
      <c r="H37" s="1">
        <f>SUM(H30:H35)/1</f>
        <v>3</v>
      </c>
      <c r="I37" s="1"/>
      <c r="K37" s="1"/>
      <c r="L37" s="1"/>
    </row>
    <row r="40" spans="1:12" ht="13.9" customHeight="1">
      <c r="A40" t="s">
        <v>16</v>
      </c>
    </row>
    <row r="42" spans="1:12" ht="13.9" customHeight="1"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</row>
    <row r="43" spans="1:12" ht="13.9" customHeight="1">
      <c r="A43" t="s">
        <v>8</v>
      </c>
      <c r="B43" s="2">
        <v>5</v>
      </c>
      <c r="C43" s="2">
        <v>5</v>
      </c>
      <c r="D43" s="2">
        <v>5</v>
      </c>
      <c r="F43" s="2">
        <v>4</v>
      </c>
      <c r="J43" s="1">
        <f>SUM(B43:H43)/4</f>
        <v>4.75</v>
      </c>
    </row>
    <row r="44" spans="1:12" ht="13.9" customHeight="1">
      <c r="A44" t="s">
        <v>9</v>
      </c>
      <c r="B44" s="2">
        <v>3</v>
      </c>
      <c r="C44" s="2">
        <v>3</v>
      </c>
      <c r="D44" s="2">
        <v>3</v>
      </c>
      <c r="E44" s="2">
        <v>5</v>
      </c>
      <c r="F44" s="2">
        <v>3</v>
      </c>
      <c r="G44" s="2">
        <v>5</v>
      </c>
      <c r="H44" s="2">
        <v>3</v>
      </c>
      <c r="J44" s="1">
        <f>SUM(B44:H44)/7</f>
        <v>3.5714285714285716</v>
      </c>
    </row>
    <row r="45" spans="1:12" ht="13.9" customHeight="1">
      <c r="A45" t="s">
        <v>10</v>
      </c>
      <c r="B45" s="2">
        <v>5</v>
      </c>
      <c r="C45" s="2">
        <v>3</v>
      </c>
      <c r="D45" s="2">
        <v>4</v>
      </c>
      <c r="F45" s="2">
        <v>4</v>
      </c>
      <c r="J45" s="1">
        <f>SUM(B45:H45)/4</f>
        <v>4</v>
      </c>
    </row>
    <row r="46" spans="1:12" ht="13.9" customHeight="1">
      <c r="A46" t="s">
        <v>11</v>
      </c>
      <c r="B46" s="4">
        <v>5</v>
      </c>
      <c r="C46" s="4">
        <v>4</v>
      </c>
      <c r="D46" s="4">
        <v>3</v>
      </c>
      <c r="F46" s="4">
        <v>3</v>
      </c>
      <c r="J46" s="1">
        <f>SUM(B46:H46)/12</f>
        <v>1.25</v>
      </c>
    </row>
    <row r="47" spans="1:12" ht="13.9" customHeight="1">
      <c r="A47" t="s">
        <v>12</v>
      </c>
      <c r="B47" s="4">
        <v>5</v>
      </c>
      <c r="C47" s="4">
        <v>3</v>
      </c>
      <c r="D47" s="4">
        <v>3</v>
      </c>
      <c r="F47" s="4">
        <v>3</v>
      </c>
      <c r="J47" s="1">
        <f>SUM(B47:H47)/12</f>
        <v>1.1666666666666667</v>
      </c>
    </row>
    <row r="48" spans="1:12" ht="13.9" customHeight="1">
      <c r="A48" t="s">
        <v>13</v>
      </c>
      <c r="B48" s="4">
        <v>5</v>
      </c>
      <c r="C48" s="4">
        <v>5</v>
      </c>
      <c r="D48" s="4">
        <v>3</v>
      </c>
      <c r="F48" s="4">
        <v>3</v>
      </c>
      <c r="J48" s="1">
        <f>SUM(B48:H48)/12</f>
        <v>1.3333333333333333</v>
      </c>
    </row>
    <row r="49" spans="1:12" ht="14.5"/>
    <row r="50" spans="1:12" ht="14.5">
      <c r="A50" s="1"/>
      <c r="B50" s="1">
        <f>SUM(B43:B48)/6</f>
        <v>4.666666666666667</v>
      </c>
      <c r="C50" s="1">
        <f>SUM(C43:C48)/6</f>
        <v>3.8333333333333335</v>
      </c>
      <c r="D50" s="1">
        <f>SUM(D43:D48)/6</f>
        <v>3.5</v>
      </c>
      <c r="E50" s="1">
        <f>SUM(E43:E48)/1</f>
        <v>5</v>
      </c>
      <c r="F50" s="1">
        <f>SUM(F43:F48)/6</f>
        <v>3.3333333333333335</v>
      </c>
      <c r="G50" s="1">
        <f>SUM(G43:G48)/1</f>
        <v>5</v>
      </c>
      <c r="H50" s="1">
        <f>SUM(H43:H48)/1</f>
        <v>3</v>
      </c>
      <c r="I50" s="1"/>
      <c r="K50" s="1"/>
      <c r="L50" s="1"/>
    </row>
    <row r="51" spans="1:12" ht="14.5"/>
    <row r="52" spans="1:12" ht="14.5"/>
    <row r="53" spans="1:12" ht="14.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Roman,Standard"&amp;12&amp;Kffffff&amp;A</oddHeader>
    <oddFooter>&amp;C&amp;"Times New Roman,Standard"&amp;12&amp;KffffffSeite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Diagramme_Importierbarkeit</vt:lpstr>
      <vt:lpstr>Diagramme_Completness</vt:lpstr>
      <vt:lpstr>Diagramme_Quality</vt:lpstr>
      <vt:lpstr>Overview</vt:lpstr>
      <vt:lpstr>Importability_Qwen</vt:lpstr>
      <vt:lpstr>Completeness_Qwen</vt:lpstr>
      <vt:lpstr>Precision_Qwen</vt:lpstr>
      <vt:lpstr>Quality_Qwen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Nast</dc:creator>
  <cp:keywords/>
  <dc:description/>
  <cp:lastModifiedBy>Hauke Wohlers</cp:lastModifiedBy>
  <cp:revision>73</cp:revision>
  <dcterms:created xsi:type="dcterms:W3CDTF">2025-03-10T08:53:57Z</dcterms:created>
  <dcterms:modified xsi:type="dcterms:W3CDTF">2026-09-16T19:52:22Z</dcterms:modified>
  <cp:category/>
  <cp:contentStatus/>
</cp:coreProperties>
</file>