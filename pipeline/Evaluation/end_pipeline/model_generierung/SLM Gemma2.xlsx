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uke\Desktop\Uni\Winfo\Master\SoSe 26\Unternehmensmodellierung\Hausarbeit\Auswertung\Excel_fuer_Benni\"/>
    </mc:Choice>
  </mc:AlternateContent>
  <xr:revisionPtr revIDLastSave="0" documentId="8_{32C902D9-C011-4D0D-A477-FD66ABA9EEAD}" xr6:coauthVersionLast="47" xr6:coauthVersionMax="47" xr10:uidLastSave="{00000000-0000-0000-0000-000000000000}"/>
  <bookViews>
    <workbookView xWindow="-110" yWindow="-110" windowWidth="25820" windowHeight="15500" tabRatio="618" firstSheet="3" activeTab="4" xr2:uid="{00000000-000D-0000-FFFF-FFFF00000000}"/>
  </bookViews>
  <sheets>
    <sheet name="Overview" sheetId="14" r:id="rId1"/>
    <sheet name="Importability_Gemma" sheetId="2" r:id="rId2"/>
    <sheet name="Completeness_Gemma" sheetId="4" r:id="rId3"/>
    <sheet name="Precision_Gemma" sheetId="6" r:id="rId4"/>
    <sheet name="Quality_Gemma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6" l="1"/>
  <c r="K22" i="6"/>
  <c r="L21" i="6"/>
  <c r="K21" i="6"/>
  <c r="L20" i="6"/>
  <c r="K20" i="6"/>
  <c r="L19" i="6"/>
  <c r="K19" i="6"/>
  <c r="L18" i="6"/>
  <c r="K18" i="6"/>
  <c r="L17" i="6"/>
  <c r="K17" i="6"/>
  <c r="L9" i="6"/>
  <c r="K9" i="6"/>
  <c r="L8" i="6"/>
  <c r="K8" i="6"/>
  <c r="L7" i="6"/>
  <c r="K7" i="6"/>
  <c r="L6" i="6"/>
  <c r="K6" i="6"/>
  <c r="L5" i="6"/>
  <c r="K5" i="6"/>
  <c r="L4" i="6"/>
  <c r="K4" i="6"/>
  <c r="L24" i="4"/>
  <c r="K24" i="4"/>
  <c r="L23" i="4"/>
  <c r="K23" i="4"/>
  <c r="L22" i="4"/>
  <c r="K22" i="4"/>
  <c r="L21" i="4"/>
  <c r="K21" i="4"/>
  <c r="L20" i="4"/>
  <c r="K20" i="4"/>
  <c r="L19" i="4"/>
  <c r="K19" i="4"/>
  <c r="L9" i="4"/>
  <c r="K9" i="4"/>
  <c r="L8" i="4"/>
  <c r="K8" i="4"/>
  <c r="L7" i="4"/>
  <c r="K7" i="4"/>
  <c r="L6" i="4"/>
  <c r="K6" i="4"/>
  <c r="L5" i="4"/>
  <c r="K5" i="4"/>
  <c r="L4" i="4"/>
  <c r="K4" i="4"/>
  <c r="H24" i="9"/>
  <c r="G24" i="9"/>
  <c r="F24" i="9"/>
  <c r="E24" i="9"/>
  <c r="D24" i="9"/>
  <c r="C24" i="9"/>
  <c r="B24" i="9"/>
  <c r="J22" i="9"/>
  <c r="J21" i="9"/>
  <c r="J20" i="9"/>
  <c r="J19" i="9"/>
  <c r="J18" i="9"/>
  <c r="J17" i="9"/>
  <c r="H11" i="9"/>
  <c r="G11" i="9"/>
  <c r="F11" i="9"/>
  <c r="E11" i="9"/>
  <c r="D11" i="9"/>
  <c r="C11" i="9"/>
  <c r="B11" i="9"/>
  <c r="J9" i="9"/>
  <c r="J8" i="9"/>
  <c r="J7" i="9"/>
  <c r="J6" i="9"/>
  <c r="J5" i="9"/>
  <c r="J4" i="9"/>
  <c r="B11" i="6"/>
  <c r="I24" i="6"/>
  <c r="H24" i="6"/>
  <c r="G24" i="6"/>
  <c r="F24" i="6"/>
  <c r="E24" i="6"/>
  <c r="D24" i="6"/>
  <c r="C24" i="6"/>
  <c r="B24" i="6"/>
  <c r="I11" i="6"/>
  <c r="H11" i="6"/>
  <c r="G11" i="6"/>
  <c r="F11" i="6"/>
  <c r="E11" i="6"/>
  <c r="D11" i="6"/>
  <c r="C11" i="6"/>
  <c r="I26" i="4"/>
  <c r="H26" i="4"/>
  <c r="G26" i="4"/>
  <c r="F26" i="4"/>
  <c r="E26" i="4"/>
  <c r="D26" i="4"/>
  <c r="C26" i="4"/>
  <c r="B26" i="4"/>
  <c r="I11" i="4"/>
  <c r="H11" i="4"/>
  <c r="G11" i="4"/>
  <c r="F11" i="4"/>
  <c r="E11" i="4"/>
  <c r="D11" i="4"/>
  <c r="C11" i="4"/>
  <c r="B11" i="4"/>
  <c r="H26" i="2"/>
  <c r="G26" i="2"/>
  <c r="F26" i="2"/>
  <c r="E26" i="2"/>
  <c r="D26" i="2"/>
  <c r="C26" i="2"/>
  <c r="B26" i="2"/>
  <c r="J24" i="2"/>
  <c r="J23" i="2"/>
  <c r="J22" i="2"/>
  <c r="J21" i="2"/>
  <c r="J20" i="2"/>
  <c r="J19" i="2"/>
  <c r="H11" i="2"/>
  <c r="G11" i="2"/>
  <c r="F11" i="2"/>
  <c r="E11" i="2"/>
  <c r="D11" i="2"/>
  <c r="C11" i="2"/>
  <c r="B11" i="2"/>
  <c r="J9" i="2"/>
  <c r="J8" i="2"/>
  <c r="J7" i="2"/>
  <c r="J6" i="2"/>
  <c r="J5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tc={BD6700E6-9A8C-4E11-B5E1-A7ED93306281}</author>
    <author>tc={EFB6AEAF-0249-4B86-AB73-9A3BBBCA5A90}</author>
    <author>tc={7FA6B93C-8C89-49C9-BB0C-4E46077DE628}</author>
    <author>tc={CD9E9C24-F1B5-447E-9CE7-597C21DE0851}</author>
    <author>tc={43EF6060-15D2-4E6C-A64B-DDE09F98A535}</author>
    <author>tc={9C1C4F06-4ED5-454F-A5BB-F620001A43CF}</author>
  </authors>
  <commentList>
    <comment ref="G5" authorId="0" shapeId="0" xr:uid="{BD6700E6-9A8C-4E11-B5E1-A7ED933062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Starke Probleme bei AND-Relationships</t>
      </text>
    </comment>
    <comment ref="C6" authorId="1" shapeId="0" xr:uid="{EFB6AEAF-0249-4B86-AB73-9A3BBBCA5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eine Beziehung und diese ist richtig dargestellt. Ergebnismenge verlangt aber keine</t>
      </text>
    </comment>
    <comment ref="E6" authorId="2" shapeId="0" xr:uid="{7FA6B93C-8C89-49C9-BB0C-4E46077DE6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Auch hier gibt es eine weitere richtige Relationsship über die Vorgabe hinaus</t>
      </text>
    </comment>
    <comment ref="B19" authorId="3" shapeId="0" xr:uid="{CD9E9C24-F1B5-447E-9CE7-597C21DE08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 unter anderem Worker/Individual modelliert. Hinweis darauf, dass sich SLM schwer tut Grenzen, was modelliert werden muss , zu ziehen.</t>
      </text>
    </comment>
    <comment ref="D19" authorId="4" shapeId="0" xr:uid="{43EF6060-15D2-4E6C-A64B-DDE09F98A53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wurden unnötige weitere Individuen modelliert und Heat Pump und Smart Heat wurde unterschieden, obwohl dies nicht Teil des Modells sein soll.</t>
      </text>
    </comment>
    <comment ref="B21" authorId="5" shapeId="0" xr:uid="{9C1C4F06-4ED5-454F-A5BB-F620001A43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wurden deutlich mehr Konzepte als nötig erkannt und modelliert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tc={D141B81C-1570-4F3D-9A2F-CED5B57568DF}</author>
  </authors>
  <commentList>
    <comment ref="E5" authorId="0" shapeId="0" xr:uid="{D141B81C-1570-4F3D-9A2F-CED5B57568D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Aufgrund der schlechten AND-Relationsships ist das Modell schwer zu durchdringen</t>
      </text>
    </comment>
  </commentList>
</comments>
</file>

<file path=xl/sharedStrings.xml><?xml version="1.0" encoding="utf-8"?>
<sst xmlns="http://schemas.openxmlformats.org/spreadsheetml/2006/main" count="108" uniqueCount="19">
  <si>
    <t>controlled_gemma_e4b</t>
  </si>
  <si>
    <t>S1</t>
  </si>
  <si>
    <t>S2</t>
  </si>
  <si>
    <t>S3.1</t>
  </si>
  <si>
    <t>S3.2</t>
  </si>
  <si>
    <t>S4.1</t>
  </si>
  <si>
    <t>S4.2</t>
  </si>
  <si>
    <t>S4.3</t>
  </si>
  <si>
    <t>ARM</t>
  </si>
  <si>
    <t>BPM</t>
  </si>
  <si>
    <t>CM</t>
  </si>
  <si>
    <t>GM</t>
  </si>
  <si>
    <t>PM</t>
  </si>
  <si>
    <t>TRM</t>
  </si>
  <si>
    <t>organized_gemma_e4b</t>
  </si>
  <si>
    <t>S3</t>
  </si>
  <si>
    <t>S4</t>
  </si>
  <si>
    <t>Component</t>
  </si>
  <si>
    <t>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</si>
</sst>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sz val="11"/>
      <color theme="1"/>
      <name val="Calibri"/>
    </font>
    <font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1" applyProtection="0"/>
    <xf numFmtId="0" fontId="3" fillId="4" borderId="0" applyNumberFormat="0" applyBorder="0" applyAlignment="0" applyProtection="0"/>
    <xf numFmtId="0" fontId="4" fillId="0" borderId="0"/>
    <xf numFmtId="0" fontId="4" fillId="6" borderId="1" applyProtection="0"/>
    <xf numFmtId="0" fontId="5" fillId="4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3" borderId="0" xfId="0" applyFill="1"/>
    <xf numFmtId="0" fontId="0" fillId="5" borderId="0" xfId="0" applyFill="1"/>
    <xf numFmtId="0" fontId="3" fillId="4" borderId="0" xfId="2"/>
    <xf numFmtId="0" fontId="4" fillId="0" borderId="0" xfId="3"/>
    <xf numFmtId="0" fontId="5" fillId="4" borderId="0" xfId="5"/>
    <xf numFmtId="0" fontId="5" fillId="0" borderId="0" xfId="5" applyFill="1"/>
    <xf numFmtId="0" fontId="5" fillId="3" borderId="0" xfId="5" applyFill="1"/>
  </cellXfs>
  <cellStyles count="6">
    <cellStyle name="Excel Built-in Note" xfId="1" xr:uid="{00000000-0005-0000-0000-000006000000}"/>
    <cellStyle name="Excel Built-in Note 2" xfId="4" xr:uid="{A051896C-3EFB-4CEA-BA45-9A3C5A7F6C3D}"/>
    <cellStyle name="Gut" xfId="2" builtinId="26"/>
    <cellStyle name="Gut 2" xfId="5" xr:uid="{F755D48F-01AA-4FFF-AAAD-C820DE058CAA}"/>
    <cellStyle name="Standard" xfId="0" builtinId="0"/>
    <cellStyle name="Standard 2" xfId="3" xr:uid="{F8999B3C-F8A1-4B52-8968-03F85143E7F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152400</xdr:rowOff>
    </xdr:from>
    <xdr:to>
      <xdr:col>7</xdr:col>
      <xdr:colOff>714375</xdr:colOff>
      <xdr:row>9</xdr:row>
      <xdr:rowOff>114300</xdr:rowOff>
    </xdr:to>
    <xdr:pic>
      <xdr:nvPicPr>
        <xdr:cNvPr id="5" name="Bild 1">
          <a:extLst>
            <a:ext uri="{FF2B5EF4-FFF2-40B4-BE49-F238E27FC236}">
              <a16:creationId xmlns:a16="http://schemas.microsoft.com/office/drawing/2014/main" id="{7582627E-2D5B-BA22-5587-9438FBE46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2400"/>
          <a:ext cx="5619750" cy="1676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stbenutzer" id="{B9829F0C-CAEB-415D-8C9E-BE4620C15F4D}" userId="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7-24T14:12:37.74" personId="{B9829F0C-CAEB-415D-8C9E-BE4620C15F4D}" id="{BD6700E6-9A8C-4E11-B5E1-A7ED93306281}">
    <text>Starke Probleme bei AND-Relationships</text>
  </threadedComment>
  <threadedComment ref="C6" dT="2026-07-24T11:39:49.01" personId="{B9829F0C-CAEB-415D-8C9E-BE4620C15F4D}" id="{EFB6AEAF-0249-4B86-AB73-9A3BBBCA5A90}">
    <text>Es gibt eine Beziehung und diese ist richtig dargestellt. Ergebnismenge verlangt aber keine</text>
  </threadedComment>
  <threadedComment ref="E6" dT="2026-07-24T13:52:27.15" personId="{B9829F0C-CAEB-415D-8C9E-BE4620C15F4D}" id="{7FA6B93C-8C89-49C9-BB0C-4E46077DE628}">
    <text>Auch hier gibt es eine weitere richtige Relationsship über die Vorgabe hinaus</text>
  </threadedComment>
  <threadedComment ref="B19" dT="2026-07-25T06:36:18.01" personId="{B9829F0C-CAEB-415D-8C9E-BE4620C15F4D}" id="{CD9E9C24-F1B5-447E-9CE7-597C21DE0851}">
    <text>Es wurde unter anderem Worker/Individual modelliert. Hinweis darauf, dass sich SLM schwer tut Grenzen, was modelliert werden muss , zu ziehen.</text>
  </threadedComment>
  <threadedComment ref="D19" dT="2026-07-25T06:52:33.46" personId="{B9829F0C-CAEB-415D-8C9E-BE4620C15F4D}" id="{43EF6060-15D2-4E6C-A64B-DDE09F98A535}">
    <text>Es wurden unnötige weitere Individuen modelliert und Heat Pump und Smart Heat wurde unterschieden, obwohl dies nicht Teil des Modells sein soll.</text>
  </threadedComment>
  <threadedComment ref="B21" dT="2026-07-25T06:44:39.79" personId="{B9829F0C-CAEB-415D-8C9E-BE4620C15F4D}" id="{9C1C4F06-4ED5-454F-A5BB-F620001A43CF}">
    <text>Es wurden deutlich mehr Konzepte als nötig erkannt und modelliert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6-07-24T14:13:57.48" personId="{B9829F0C-CAEB-415D-8C9E-BE4620C15F4D}" id="{D141B81C-1570-4F3D-9A2F-CED5B57568DF}">
    <text>Aufgrund der schlechten AND-Relationsships ist das Modell schwer zu durchdringen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1DB744-32E8-4278-9ACA-D5CEE02BCF43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3A5C-363C-4CD6-BE67-2C69EFDA5EE3}">
  <dimension ref="A1"/>
  <sheetViews>
    <sheetView workbookViewId="0">
      <selection activeCell="I18" sqref="I18"/>
    </sheetView>
  </sheetViews>
  <sheetFormatPr baseColWidth="10" defaultColWidth="11.453125" defaultRowHeight="14.5" x14ac:dyDescent="0.3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"/>
  <sheetViews>
    <sheetView zoomScale="109" zoomScaleNormal="85" workbookViewId="0">
      <selection activeCell="M12" sqref="M12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1" width="10.453125" customWidth="1"/>
  </cols>
  <sheetData>
    <row r="1" spans="1:11" ht="13.9" customHeight="1" x14ac:dyDescent="0.35">
      <c r="A1" t="s">
        <v>0</v>
      </c>
    </row>
    <row r="3" spans="1:11" ht="13.9" customHeight="1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11" ht="13.9" customHeight="1" x14ac:dyDescent="0.35">
      <c r="A4" s="3" t="s">
        <v>8</v>
      </c>
      <c r="B4" s="2">
        <v>3</v>
      </c>
      <c r="C4" s="2">
        <v>3</v>
      </c>
      <c r="D4" s="2">
        <v>3</v>
      </c>
      <c r="F4" s="2">
        <v>2</v>
      </c>
      <c r="J4" s="1">
        <f>SUM(B4:H4)/12</f>
        <v>0.91666666666666663</v>
      </c>
    </row>
    <row r="5" spans="1:11" ht="13.9" customHeight="1" x14ac:dyDescent="0.35">
      <c r="A5" s="3" t="s">
        <v>9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J5" s="1">
        <f>SUM(B5:H5)/21</f>
        <v>1</v>
      </c>
    </row>
    <row r="6" spans="1:11" ht="13.9" customHeight="1" x14ac:dyDescent="0.35">
      <c r="A6" s="3" t="s">
        <v>10</v>
      </c>
      <c r="B6" s="2">
        <v>3</v>
      </c>
      <c r="C6" s="2">
        <v>3</v>
      </c>
      <c r="D6" s="2">
        <v>3</v>
      </c>
      <c r="F6" s="2">
        <v>3</v>
      </c>
      <c r="J6" s="1">
        <f>SUM(B6:H6)/12</f>
        <v>1</v>
      </c>
    </row>
    <row r="7" spans="1:11" ht="13.9" customHeight="1" x14ac:dyDescent="0.35">
      <c r="A7" t="s">
        <v>11</v>
      </c>
      <c r="B7" s="4">
        <v>3</v>
      </c>
      <c r="C7" s="4">
        <v>3</v>
      </c>
      <c r="D7" s="4">
        <v>3</v>
      </c>
      <c r="E7" s="4"/>
      <c r="F7" s="4">
        <v>3</v>
      </c>
      <c r="J7" s="1">
        <f>SUM(B7:H7)/12</f>
        <v>1</v>
      </c>
    </row>
    <row r="8" spans="1:11" ht="13.9" customHeight="1" x14ac:dyDescent="0.35">
      <c r="A8" t="s">
        <v>12</v>
      </c>
      <c r="B8" s="4">
        <v>3</v>
      </c>
      <c r="C8" s="4">
        <v>3</v>
      </c>
      <c r="D8" s="4">
        <v>3</v>
      </c>
      <c r="E8" s="4"/>
      <c r="F8" s="4">
        <v>3</v>
      </c>
      <c r="J8" s="1">
        <f>SUM(B8:H8)/12</f>
        <v>1</v>
      </c>
    </row>
    <row r="9" spans="1:11" ht="13.9" customHeight="1" x14ac:dyDescent="0.35">
      <c r="A9" t="s">
        <v>13</v>
      </c>
      <c r="B9" s="4">
        <v>3</v>
      </c>
      <c r="C9" s="4">
        <v>3</v>
      </c>
      <c r="D9" s="4">
        <v>3</v>
      </c>
      <c r="E9" s="4"/>
      <c r="F9" s="4">
        <v>3</v>
      </c>
      <c r="J9" s="1">
        <f>SUM(B9:H9)/12</f>
        <v>1</v>
      </c>
    </row>
    <row r="11" spans="1:11" ht="13.9" customHeight="1" x14ac:dyDescent="0.35">
      <c r="A11" s="1"/>
      <c r="B11" s="1">
        <f>SUM(B4:B9)/18</f>
        <v>1</v>
      </c>
      <c r="C11" s="1">
        <f>SUM(C4:C9)/18</f>
        <v>1</v>
      </c>
      <c r="D11" s="1">
        <f>SUM(D4:D9)/18</f>
        <v>1</v>
      </c>
      <c r="E11" s="1">
        <f>SUM(E4:E9)/3</f>
        <v>1</v>
      </c>
      <c r="F11" s="1">
        <f>SUM(F4:F9)/18</f>
        <v>0.94444444444444442</v>
      </c>
      <c r="G11" s="1">
        <f>SUM(G4:G9)/3</f>
        <v>1</v>
      </c>
      <c r="H11" s="1">
        <f>SUM(H4:H9)/3</f>
        <v>1</v>
      </c>
      <c r="I11" s="1"/>
      <c r="K11" s="1"/>
    </row>
    <row r="16" spans="1:11" ht="13.9" customHeight="1" x14ac:dyDescent="0.35">
      <c r="A16" t="s">
        <v>14</v>
      </c>
    </row>
    <row r="18" spans="1:11" ht="13.9" customHeight="1" x14ac:dyDescent="0.35"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11" ht="13.9" customHeight="1" x14ac:dyDescent="0.35">
      <c r="A19" t="s">
        <v>8</v>
      </c>
      <c r="B19" s="8">
        <v>3</v>
      </c>
      <c r="C19" s="8">
        <v>2</v>
      </c>
      <c r="D19" s="8">
        <v>3</v>
      </c>
      <c r="E19" s="7"/>
      <c r="F19" s="8">
        <v>3</v>
      </c>
      <c r="J19" s="1">
        <f>SUM(B19:H19)/12</f>
        <v>0.91666666666666663</v>
      </c>
    </row>
    <row r="20" spans="1:11" ht="13.9" customHeight="1" x14ac:dyDescent="0.35">
      <c r="A20" t="s">
        <v>9</v>
      </c>
      <c r="B20" s="8">
        <v>3</v>
      </c>
      <c r="C20" s="8">
        <v>3</v>
      </c>
      <c r="D20" s="8">
        <v>3</v>
      </c>
      <c r="E20" s="8">
        <v>0</v>
      </c>
      <c r="F20" s="8">
        <v>3</v>
      </c>
      <c r="G20" s="2">
        <v>1</v>
      </c>
      <c r="H20" s="2">
        <v>3</v>
      </c>
      <c r="J20" s="1">
        <f>SUM(B20:H20)/21</f>
        <v>0.76190476190476186</v>
      </c>
    </row>
    <row r="21" spans="1:11" ht="13.9" customHeight="1" x14ac:dyDescent="0.35">
      <c r="A21" t="s">
        <v>10</v>
      </c>
      <c r="B21" s="8">
        <v>3</v>
      </c>
      <c r="C21" s="8">
        <v>0</v>
      </c>
      <c r="D21" s="8">
        <v>0</v>
      </c>
      <c r="E21" s="7"/>
      <c r="F21" s="8">
        <v>3</v>
      </c>
      <c r="J21" s="1">
        <f>SUM(B21:H21)/12</f>
        <v>0.5</v>
      </c>
    </row>
    <row r="22" spans="1:11" ht="13.9" customHeight="1" x14ac:dyDescent="0.35">
      <c r="A22" t="s">
        <v>11</v>
      </c>
      <c r="B22" s="6">
        <v>3</v>
      </c>
      <c r="C22" s="6">
        <v>1</v>
      </c>
      <c r="D22" s="6">
        <v>3</v>
      </c>
      <c r="E22" s="6"/>
      <c r="F22" s="6">
        <v>0</v>
      </c>
      <c r="J22" s="1">
        <f>SUM(B22:H22)/12</f>
        <v>0.58333333333333337</v>
      </c>
    </row>
    <row r="23" spans="1:11" ht="13.9" customHeight="1" x14ac:dyDescent="0.35">
      <c r="A23" t="s">
        <v>12</v>
      </c>
      <c r="B23" s="6">
        <v>3</v>
      </c>
      <c r="C23" s="6">
        <v>3</v>
      </c>
      <c r="D23" s="6">
        <v>3</v>
      </c>
      <c r="E23" s="6"/>
      <c r="F23" s="6">
        <v>3</v>
      </c>
      <c r="J23" s="1">
        <f>SUM(B23:H23)/12</f>
        <v>1</v>
      </c>
    </row>
    <row r="24" spans="1:11" ht="13.9" customHeight="1" x14ac:dyDescent="0.35">
      <c r="A24" t="s">
        <v>13</v>
      </c>
      <c r="B24" s="6">
        <v>3</v>
      </c>
      <c r="C24" s="6">
        <v>3</v>
      </c>
      <c r="D24" s="6">
        <v>3</v>
      </c>
      <c r="E24" s="6"/>
      <c r="F24" s="6">
        <v>3</v>
      </c>
      <c r="J24" s="1">
        <f>SUM(B24:H24)/12</f>
        <v>1</v>
      </c>
    </row>
    <row r="26" spans="1:11" ht="13.9" customHeight="1" x14ac:dyDescent="0.35">
      <c r="A26" s="1"/>
      <c r="B26" s="1">
        <f>SUM(B19:B24)/18</f>
        <v>1</v>
      </c>
      <c r="C26" s="1">
        <f>SUM(C19:C24)/18</f>
        <v>0.66666666666666663</v>
      </c>
      <c r="D26" s="1">
        <f>SUM(D19:D24)/18</f>
        <v>0.83333333333333337</v>
      </c>
      <c r="E26" s="1">
        <f>SUM(E19:E24)/3</f>
        <v>0</v>
      </c>
      <c r="F26" s="1">
        <f>SUM(F19:F24)/18</f>
        <v>0.83333333333333337</v>
      </c>
      <c r="G26" s="1">
        <f>SUM(G19:G24)/3</f>
        <v>0.33333333333333331</v>
      </c>
      <c r="H26" s="1">
        <f>SUM(H19:H24)/3</f>
        <v>1</v>
      </c>
      <c r="I26" s="1"/>
      <c r="K26" s="1"/>
    </row>
    <row r="29" spans="1:11" ht="14.5" x14ac:dyDescent="0.3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zoomScaleNormal="100" workbookViewId="0">
      <selection activeCell="L11" sqref="L11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12" ht="13.9" customHeight="1" x14ac:dyDescent="0.35">
      <c r="A1" t="s">
        <v>0</v>
      </c>
      <c r="G1">
        <v>6</v>
      </c>
    </row>
    <row r="2" spans="1:12" ht="13.9" customHeight="1" x14ac:dyDescent="0.35">
      <c r="B2" t="s">
        <v>1</v>
      </c>
      <c r="D2" t="s">
        <v>2</v>
      </c>
      <c r="F2" t="s">
        <v>15</v>
      </c>
      <c r="H2" t="s">
        <v>16</v>
      </c>
    </row>
    <row r="3" spans="1:12" ht="13.9" customHeight="1" x14ac:dyDescent="0.35">
      <c r="K3" t="s">
        <v>17</v>
      </c>
      <c r="L3" t="s">
        <v>18</v>
      </c>
    </row>
    <row r="4" spans="1:12" ht="13.9" customHeight="1" x14ac:dyDescent="0.35">
      <c r="A4" t="s">
        <v>8</v>
      </c>
      <c r="B4" s="2">
        <v>2</v>
      </c>
      <c r="C4" s="2">
        <v>1</v>
      </c>
      <c r="D4" s="2">
        <v>3</v>
      </c>
      <c r="E4" s="2">
        <v>2</v>
      </c>
      <c r="F4" s="2">
        <v>8</v>
      </c>
      <c r="G4" s="2">
        <v>5</v>
      </c>
      <c r="H4" s="2">
        <v>12</v>
      </c>
      <c r="I4" s="2">
        <v>10</v>
      </c>
      <c r="K4">
        <f t="shared" ref="K4:L9" si="0">B4+D4+F4+H4</f>
        <v>25</v>
      </c>
      <c r="L4">
        <f t="shared" si="0"/>
        <v>18</v>
      </c>
    </row>
    <row r="5" spans="1:12" ht="13.9" customHeight="1" x14ac:dyDescent="0.35">
      <c r="A5" t="s">
        <v>9</v>
      </c>
      <c r="B5" s="2">
        <v>6</v>
      </c>
      <c r="C5" s="2">
        <v>4</v>
      </c>
      <c r="D5" s="2">
        <v>7</v>
      </c>
      <c r="E5" s="2">
        <v>6</v>
      </c>
      <c r="F5" s="2">
        <v>14</v>
      </c>
      <c r="G5" s="2">
        <v>10</v>
      </c>
      <c r="H5" s="2">
        <v>28</v>
      </c>
      <c r="I5" s="2">
        <v>15</v>
      </c>
      <c r="K5">
        <f t="shared" si="0"/>
        <v>55</v>
      </c>
      <c r="L5">
        <f t="shared" si="0"/>
        <v>35</v>
      </c>
    </row>
    <row r="6" spans="1:12" ht="13.9" customHeight="1" x14ac:dyDescent="0.35">
      <c r="A6" t="s">
        <v>10</v>
      </c>
      <c r="B6" s="2">
        <v>6</v>
      </c>
      <c r="C6" s="2">
        <v>0</v>
      </c>
      <c r="D6" s="2">
        <v>9</v>
      </c>
      <c r="E6" s="2">
        <v>2</v>
      </c>
      <c r="F6" s="2">
        <v>17</v>
      </c>
      <c r="G6" s="2">
        <v>7</v>
      </c>
      <c r="H6" s="2">
        <v>29</v>
      </c>
      <c r="I6" s="2">
        <v>16</v>
      </c>
      <c r="K6">
        <f t="shared" si="0"/>
        <v>61</v>
      </c>
      <c r="L6">
        <f t="shared" si="0"/>
        <v>25</v>
      </c>
    </row>
    <row r="7" spans="1:12" ht="13.9" customHeight="1" x14ac:dyDescent="0.35">
      <c r="A7" t="s">
        <v>11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8</v>
      </c>
      <c r="H7" s="6">
        <v>11</v>
      </c>
      <c r="I7" s="6">
        <v>9</v>
      </c>
      <c r="K7">
        <f t="shared" si="0"/>
        <v>26</v>
      </c>
      <c r="L7">
        <f t="shared" si="0"/>
        <v>21</v>
      </c>
    </row>
    <row r="8" spans="1:12" ht="13.9" customHeight="1" x14ac:dyDescent="0.35">
      <c r="A8" t="s">
        <v>12</v>
      </c>
      <c r="B8" s="6">
        <v>4</v>
      </c>
      <c r="C8" s="6">
        <v>3</v>
      </c>
      <c r="D8" s="6">
        <v>7</v>
      </c>
      <c r="E8" s="6">
        <v>6</v>
      </c>
      <c r="F8" s="6">
        <v>10</v>
      </c>
      <c r="G8" s="6">
        <v>9</v>
      </c>
      <c r="H8" s="6">
        <v>13</v>
      </c>
      <c r="I8" s="6">
        <v>8</v>
      </c>
      <c r="K8">
        <f t="shared" si="0"/>
        <v>34</v>
      </c>
      <c r="L8">
        <f t="shared" si="0"/>
        <v>26</v>
      </c>
    </row>
    <row r="9" spans="1:12" ht="13.9" customHeight="1" x14ac:dyDescent="0.35">
      <c r="A9" t="s">
        <v>13</v>
      </c>
      <c r="B9" s="6">
        <v>2</v>
      </c>
      <c r="C9" s="6">
        <v>1</v>
      </c>
      <c r="D9" s="6">
        <v>5</v>
      </c>
      <c r="E9" s="6">
        <v>4</v>
      </c>
      <c r="F9" s="6">
        <v>9</v>
      </c>
      <c r="G9" s="6">
        <v>6</v>
      </c>
      <c r="H9" s="6">
        <v>12</v>
      </c>
      <c r="I9" s="6">
        <v>6</v>
      </c>
      <c r="K9">
        <f t="shared" si="0"/>
        <v>28</v>
      </c>
      <c r="L9">
        <f t="shared" si="0"/>
        <v>17</v>
      </c>
    </row>
    <row r="11" spans="1:12" ht="13.9" customHeight="1" x14ac:dyDescent="0.35">
      <c r="B11">
        <f>SUM(B4:B9)/22</f>
        <v>1</v>
      </c>
      <c r="C11">
        <f>SUM(C4:C9)/10</f>
        <v>1</v>
      </c>
      <c r="D11">
        <f>SUM(D4:D9)/36</f>
        <v>0.97222222222222221</v>
      </c>
      <c r="E11">
        <f>SUM(E4:E9)/24</f>
        <v>0.95833333333333337</v>
      </c>
      <c r="F11">
        <f>SUM(F4:F9)/69</f>
        <v>0.97101449275362317</v>
      </c>
      <c r="G11">
        <f>SUM(G4:G9)/51</f>
        <v>0.88235294117647056</v>
      </c>
      <c r="H11">
        <f>SUM(H4:H9)/109</f>
        <v>0.96330275229357798</v>
      </c>
      <c r="I11">
        <f>SUM(I4:I9)/85</f>
        <v>0.75294117647058822</v>
      </c>
    </row>
    <row r="16" spans="1:12" ht="13.9" customHeight="1" x14ac:dyDescent="0.35">
      <c r="A16" t="s">
        <v>14</v>
      </c>
    </row>
    <row r="18" spans="1:12" ht="13.9" customHeight="1" x14ac:dyDescent="0.35">
      <c r="B18" t="s">
        <v>1</v>
      </c>
      <c r="D18" t="s">
        <v>2</v>
      </c>
      <c r="F18" t="s">
        <v>15</v>
      </c>
      <c r="H18" t="s">
        <v>16</v>
      </c>
      <c r="K18" t="s">
        <v>17</v>
      </c>
      <c r="L18" t="s">
        <v>18</v>
      </c>
    </row>
    <row r="19" spans="1:12" ht="13.9" customHeight="1" x14ac:dyDescent="0.35">
      <c r="A19" t="s">
        <v>8</v>
      </c>
      <c r="B19" s="2">
        <v>2</v>
      </c>
      <c r="C19" s="2">
        <v>1</v>
      </c>
      <c r="D19" s="2">
        <v>3</v>
      </c>
      <c r="E19" s="2">
        <v>2</v>
      </c>
      <c r="F19" s="2">
        <v>7</v>
      </c>
      <c r="G19" s="2">
        <v>5</v>
      </c>
      <c r="H19" s="2">
        <v>11</v>
      </c>
      <c r="I19" s="2">
        <v>7</v>
      </c>
      <c r="K19">
        <f t="shared" ref="K19:L24" si="1">B19+D19+F19+H19</f>
        <v>23</v>
      </c>
      <c r="L19">
        <f t="shared" si="1"/>
        <v>15</v>
      </c>
    </row>
    <row r="20" spans="1:12" ht="13.9" customHeight="1" x14ac:dyDescent="0.35">
      <c r="A20" t="s">
        <v>9</v>
      </c>
      <c r="B20" s="2">
        <v>5</v>
      </c>
      <c r="C20" s="2">
        <v>4</v>
      </c>
      <c r="D20" s="2">
        <v>7</v>
      </c>
      <c r="E20" s="2">
        <v>6</v>
      </c>
      <c r="F20" s="2">
        <v>7</v>
      </c>
      <c r="G20" s="2">
        <v>6</v>
      </c>
      <c r="H20" s="2">
        <v>27</v>
      </c>
      <c r="I20" s="2">
        <v>24</v>
      </c>
      <c r="K20">
        <f t="shared" si="1"/>
        <v>46</v>
      </c>
      <c r="L20">
        <f t="shared" si="1"/>
        <v>40</v>
      </c>
    </row>
    <row r="21" spans="1:12" ht="13.9" customHeight="1" x14ac:dyDescent="0.35">
      <c r="A21" t="s">
        <v>10</v>
      </c>
      <c r="B21" s="2">
        <v>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28</v>
      </c>
      <c r="I21" s="2">
        <v>13</v>
      </c>
      <c r="K21">
        <f t="shared" si="1"/>
        <v>34</v>
      </c>
      <c r="L21">
        <f t="shared" si="1"/>
        <v>13</v>
      </c>
    </row>
    <row r="22" spans="1:12" ht="13.9" customHeight="1" x14ac:dyDescent="0.35">
      <c r="A22" t="s">
        <v>11</v>
      </c>
      <c r="B22" s="6">
        <v>2</v>
      </c>
      <c r="C22" s="6">
        <v>1</v>
      </c>
      <c r="D22" s="6">
        <v>4</v>
      </c>
      <c r="E22" s="6">
        <v>3</v>
      </c>
      <c r="F22" s="6">
        <v>5</v>
      </c>
      <c r="G22" s="6">
        <v>3</v>
      </c>
      <c r="H22" s="6">
        <v>0</v>
      </c>
      <c r="I22" s="6">
        <v>0</v>
      </c>
      <c r="K22">
        <f t="shared" si="1"/>
        <v>11</v>
      </c>
      <c r="L22">
        <f t="shared" si="1"/>
        <v>7</v>
      </c>
    </row>
    <row r="23" spans="1:12" ht="13.9" customHeight="1" x14ac:dyDescent="0.35">
      <c r="A23" t="s">
        <v>12</v>
      </c>
      <c r="B23" s="6">
        <v>4</v>
      </c>
      <c r="C23" s="6">
        <v>3</v>
      </c>
      <c r="D23" s="6">
        <v>7</v>
      </c>
      <c r="E23" s="6">
        <v>5</v>
      </c>
      <c r="F23" s="6">
        <v>8</v>
      </c>
      <c r="G23" s="6">
        <v>4</v>
      </c>
      <c r="H23" s="6">
        <v>11</v>
      </c>
      <c r="I23" s="6">
        <v>4</v>
      </c>
      <c r="K23">
        <f t="shared" si="1"/>
        <v>30</v>
      </c>
      <c r="L23">
        <f t="shared" si="1"/>
        <v>16</v>
      </c>
    </row>
    <row r="24" spans="1:12" ht="13.9" customHeight="1" x14ac:dyDescent="0.35">
      <c r="A24" t="s">
        <v>13</v>
      </c>
      <c r="B24" s="6">
        <v>2</v>
      </c>
      <c r="C24" s="6">
        <v>1</v>
      </c>
      <c r="D24" s="6">
        <v>5</v>
      </c>
      <c r="E24" s="6">
        <v>4</v>
      </c>
      <c r="F24" s="6">
        <v>9</v>
      </c>
      <c r="G24" s="6">
        <v>6</v>
      </c>
      <c r="H24" s="6">
        <v>12</v>
      </c>
      <c r="I24" s="6">
        <v>6</v>
      </c>
      <c r="K24">
        <f t="shared" si="1"/>
        <v>28</v>
      </c>
      <c r="L24">
        <f t="shared" si="1"/>
        <v>17</v>
      </c>
    </row>
    <row r="26" spans="1:12" ht="13.9" customHeight="1" x14ac:dyDescent="0.35">
      <c r="B26">
        <f>SUM(B19:B24)/22</f>
        <v>0.95454545454545459</v>
      </c>
      <c r="C26">
        <f>SUM(C19:C24)/10</f>
        <v>1</v>
      </c>
      <c r="D26">
        <f>SUM(D19:D24)/36</f>
        <v>0.72222222222222221</v>
      </c>
      <c r="E26">
        <f>SUM(E19:E24)/24</f>
        <v>0.83333333333333337</v>
      </c>
      <c r="F26">
        <f>SUM(F19:F24)/69</f>
        <v>0.52173913043478259</v>
      </c>
      <c r="G26">
        <f>SUM(G19:G24)/51</f>
        <v>0.47058823529411764</v>
      </c>
      <c r="H26">
        <f>SUM(H19:H24)/109</f>
        <v>0.8165137614678899</v>
      </c>
      <c r="I26">
        <f>SUM(I19:I24)/85</f>
        <v>0.63529411764705879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Normal="100" workbookViewId="0">
      <selection activeCell="N16" sqref="N16"/>
    </sheetView>
  </sheetViews>
  <sheetFormatPr baseColWidth="10" defaultColWidth="11.54296875" defaultRowHeight="13.9" customHeight="1" x14ac:dyDescent="0.35"/>
  <cols>
    <col min="1" max="9" width="10.453125" customWidth="1"/>
  </cols>
  <sheetData>
    <row r="1" spans="1:12" ht="13.9" customHeight="1" x14ac:dyDescent="0.35">
      <c r="A1" t="s">
        <v>0</v>
      </c>
    </row>
    <row r="2" spans="1:12" ht="13.9" customHeight="1" x14ac:dyDescent="0.35">
      <c r="B2" t="s">
        <v>1</v>
      </c>
      <c r="D2" t="s">
        <v>2</v>
      </c>
      <c r="F2" t="s">
        <v>15</v>
      </c>
      <c r="H2" t="s">
        <v>16</v>
      </c>
    </row>
    <row r="3" spans="1:12" ht="13.9" customHeight="1" x14ac:dyDescent="0.35">
      <c r="K3" t="s">
        <v>17</v>
      </c>
      <c r="L3" t="s">
        <v>18</v>
      </c>
    </row>
    <row r="4" spans="1:12" ht="13.9" customHeight="1" x14ac:dyDescent="0.35">
      <c r="A4" t="s">
        <v>8</v>
      </c>
      <c r="B4" s="2">
        <v>2</v>
      </c>
      <c r="C4" s="2">
        <v>1</v>
      </c>
      <c r="D4" s="2">
        <v>3</v>
      </c>
      <c r="E4" s="2">
        <v>2</v>
      </c>
      <c r="F4" s="2">
        <v>8</v>
      </c>
      <c r="G4" s="2">
        <v>5</v>
      </c>
      <c r="H4" s="2">
        <v>12</v>
      </c>
      <c r="I4" s="2">
        <v>10</v>
      </c>
      <c r="K4">
        <f>B4+D4+F4+H4</f>
        <v>25</v>
      </c>
      <c r="L4">
        <f>C4+E4+G4+I4</f>
        <v>18</v>
      </c>
    </row>
    <row r="5" spans="1:12" ht="13.9" customHeight="1" x14ac:dyDescent="0.35">
      <c r="A5" t="s">
        <v>9</v>
      </c>
      <c r="B5" s="2">
        <v>6</v>
      </c>
      <c r="C5" s="2">
        <v>4</v>
      </c>
      <c r="D5" s="2">
        <v>7</v>
      </c>
      <c r="E5" s="2">
        <v>6</v>
      </c>
      <c r="F5" s="2">
        <v>14</v>
      </c>
      <c r="G5" s="2">
        <v>10</v>
      </c>
      <c r="H5" s="2">
        <v>28</v>
      </c>
      <c r="I5" s="2">
        <v>15</v>
      </c>
      <c r="K5">
        <f t="shared" ref="K5:L9" si="0">B5+D5+F5+H5</f>
        <v>55</v>
      </c>
      <c r="L5">
        <f t="shared" si="0"/>
        <v>35</v>
      </c>
    </row>
    <row r="6" spans="1:12" ht="13.9" customHeight="1" x14ac:dyDescent="0.35">
      <c r="A6" t="s">
        <v>10</v>
      </c>
      <c r="B6" s="2">
        <v>6</v>
      </c>
      <c r="C6" s="2">
        <v>0</v>
      </c>
      <c r="D6" s="2">
        <v>9</v>
      </c>
      <c r="E6" s="2">
        <v>2</v>
      </c>
      <c r="F6" s="2">
        <v>17</v>
      </c>
      <c r="G6" s="2">
        <v>7</v>
      </c>
      <c r="H6" s="2">
        <v>29</v>
      </c>
      <c r="I6" s="2">
        <v>16</v>
      </c>
      <c r="K6">
        <f t="shared" si="0"/>
        <v>61</v>
      </c>
      <c r="L6">
        <f t="shared" si="0"/>
        <v>25</v>
      </c>
    </row>
    <row r="7" spans="1:12" ht="13.9" customHeight="1" x14ac:dyDescent="0.35">
      <c r="A7" t="s">
        <v>11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8</v>
      </c>
      <c r="H7" s="6">
        <v>11</v>
      </c>
      <c r="I7" s="6">
        <v>9</v>
      </c>
      <c r="K7">
        <f t="shared" si="0"/>
        <v>26</v>
      </c>
      <c r="L7">
        <f t="shared" si="0"/>
        <v>21</v>
      </c>
    </row>
    <row r="8" spans="1:12" ht="13.9" customHeight="1" x14ac:dyDescent="0.35">
      <c r="A8" t="s">
        <v>12</v>
      </c>
      <c r="B8" s="6">
        <v>4</v>
      </c>
      <c r="C8" s="6">
        <v>3</v>
      </c>
      <c r="D8" s="6">
        <v>7</v>
      </c>
      <c r="E8" s="6">
        <v>6</v>
      </c>
      <c r="F8" s="6">
        <v>10</v>
      </c>
      <c r="G8" s="6">
        <v>9</v>
      </c>
      <c r="H8" s="6">
        <v>13</v>
      </c>
      <c r="I8" s="6">
        <v>8</v>
      </c>
      <c r="K8">
        <f t="shared" si="0"/>
        <v>34</v>
      </c>
      <c r="L8">
        <f t="shared" si="0"/>
        <v>26</v>
      </c>
    </row>
    <row r="9" spans="1:12" ht="13.9" customHeight="1" x14ac:dyDescent="0.35">
      <c r="A9" t="s">
        <v>13</v>
      </c>
      <c r="B9" s="6">
        <v>2</v>
      </c>
      <c r="C9" s="6">
        <v>1</v>
      </c>
      <c r="D9" s="6">
        <v>5</v>
      </c>
      <c r="E9" s="6">
        <v>4</v>
      </c>
      <c r="F9" s="6">
        <v>9</v>
      </c>
      <c r="G9" s="6">
        <v>6</v>
      </c>
      <c r="H9" s="6">
        <v>12</v>
      </c>
      <c r="I9" s="6">
        <v>6</v>
      </c>
      <c r="K9">
        <f t="shared" si="0"/>
        <v>28</v>
      </c>
      <c r="L9">
        <f t="shared" si="0"/>
        <v>17</v>
      </c>
    </row>
    <row r="11" spans="1:12" ht="13.9" customHeight="1" x14ac:dyDescent="0.35">
      <c r="B11">
        <f>SUM(B4:B9)/22</f>
        <v>1</v>
      </c>
      <c r="C11">
        <f>SUM(C4:C9)/10</f>
        <v>1</v>
      </c>
      <c r="D11">
        <f>SUM(D4:D9)/36</f>
        <v>0.97222222222222221</v>
      </c>
      <c r="E11">
        <f>SUM(E4:E9)/24</f>
        <v>0.95833333333333337</v>
      </c>
      <c r="F11">
        <f>SUM(F4:F9)/69</f>
        <v>0.97101449275362317</v>
      </c>
      <c r="G11">
        <f>SUM(G4:G9)/51</f>
        <v>0.88235294117647056</v>
      </c>
      <c r="H11">
        <f>SUM(H4:H9)/109</f>
        <v>0.96330275229357798</v>
      </c>
      <c r="I11">
        <f>SUM(I4:I9)/85</f>
        <v>0.75294117647058822</v>
      </c>
    </row>
    <row r="14" spans="1:12" ht="13.9" customHeight="1" x14ac:dyDescent="0.35">
      <c r="A14" t="s">
        <v>14</v>
      </c>
    </row>
    <row r="16" spans="1:12" ht="13.9" customHeight="1" x14ac:dyDescent="0.35">
      <c r="B16" t="s">
        <v>1</v>
      </c>
      <c r="D16" t="s">
        <v>2</v>
      </c>
      <c r="F16" t="s">
        <v>15</v>
      </c>
      <c r="H16" t="s">
        <v>16</v>
      </c>
      <c r="K16" t="s">
        <v>17</v>
      </c>
      <c r="L16" t="s">
        <v>18</v>
      </c>
    </row>
    <row r="17" spans="1:12" ht="13.9" customHeight="1" x14ac:dyDescent="0.35">
      <c r="A17" t="s">
        <v>8</v>
      </c>
      <c r="B17" s="2">
        <v>2</v>
      </c>
      <c r="C17" s="2">
        <v>1</v>
      </c>
      <c r="D17" s="2">
        <v>3</v>
      </c>
      <c r="E17" s="2">
        <v>2</v>
      </c>
      <c r="F17" s="2">
        <v>7</v>
      </c>
      <c r="G17" s="2">
        <v>5</v>
      </c>
      <c r="H17" s="2">
        <v>11</v>
      </c>
      <c r="I17" s="2">
        <v>7</v>
      </c>
      <c r="K17">
        <f>B17+D17+F17+H17</f>
        <v>23</v>
      </c>
      <c r="L17">
        <f>C17+E17+G17+I17</f>
        <v>15</v>
      </c>
    </row>
    <row r="18" spans="1:12" ht="13.9" customHeight="1" x14ac:dyDescent="0.35">
      <c r="A18" t="s">
        <v>9</v>
      </c>
      <c r="B18" s="2">
        <v>5</v>
      </c>
      <c r="C18" s="2">
        <v>4</v>
      </c>
      <c r="D18" s="2">
        <v>7</v>
      </c>
      <c r="E18" s="2">
        <v>6</v>
      </c>
      <c r="F18" s="2">
        <v>7</v>
      </c>
      <c r="G18" s="2">
        <v>6</v>
      </c>
      <c r="H18" s="2">
        <v>27</v>
      </c>
      <c r="I18" s="2">
        <v>24</v>
      </c>
      <c r="K18">
        <f t="shared" ref="K18:L22" si="1">B18+D18+F18+H18</f>
        <v>46</v>
      </c>
      <c r="L18">
        <f t="shared" si="1"/>
        <v>40</v>
      </c>
    </row>
    <row r="19" spans="1:12" ht="13.9" customHeight="1" x14ac:dyDescent="0.35">
      <c r="A19" t="s">
        <v>10</v>
      </c>
      <c r="B19" s="2">
        <v>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28</v>
      </c>
      <c r="I19" s="2">
        <v>13</v>
      </c>
      <c r="K19">
        <f t="shared" si="1"/>
        <v>34</v>
      </c>
      <c r="L19">
        <f t="shared" si="1"/>
        <v>13</v>
      </c>
    </row>
    <row r="20" spans="1:12" ht="13.9" customHeight="1" x14ac:dyDescent="0.35">
      <c r="A20" t="s">
        <v>11</v>
      </c>
      <c r="B20" s="6">
        <v>2</v>
      </c>
      <c r="C20" s="6">
        <v>1</v>
      </c>
      <c r="D20" s="6">
        <v>4</v>
      </c>
      <c r="E20" s="6">
        <v>3</v>
      </c>
      <c r="F20" s="6">
        <v>5</v>
      </c>
      <c r="G20" s="6">
        <v>3</v>
      </c>
      <c r="H20" s="6">
        <v>0</v>
      </c>
      <c r="I20" s="6">
        <v>0</v>
      </c>
      <c r="K20">
        <f t="shared" si="1"/>
        <v>11</v>
      </c>
      <c r="L20">
        <f t="shared" si="1"/>
        <v>7</v>
      </c>
    </row>
    <row r="21" spans="1:12" ht="13.9" customHeight="1" x14ac:dyDescent="0.35">
      <c r="A21" t="s">
        <v>12</v>
      </c>
      <c r="B21" s="6">
        <v>4</v>
      </c>
      <c r="C21" s="6">
        <v>3</v>
      </c>
      <c r="D21" s="6">
        <v>7</v>
      </c>
      <c r="E21" s="6">
        <v>5</v>
      </c>
      <c r="F21" s="6">
        <v>8</v>
      </c>
      <c r="G21" s="6">
        <v>4</v>
      </c>
      <c r="H21" s="6">
        <v>11</v>
      </c>
      <c r="I21" s="6">
        <v>4</v>
      </c>
      <c r="K21">
        <f t="shared" si="1"/>
        <v>30</v>
      </c>
      <c r="L21">
        <f t="shared" si="1"/>
        <v>16</v>
      </c>
    </row>
    <row r="22" spans="1:12" ht="13.9" customHeight="1" x14ac:dyDescent="0.35">
      <c r="A22" t="s">
        <v>13</v>
      </c>
      <c r="B22" s="6">
        <v>2</v>
      </c>
      <c r="C22" s="6">
        <v>1</v>
      </c>
      <c r="D22" s="6">
        <v>5</v>
      </c>
      <c r="E22" s="6">
        <v>4</v>
      </c>
      <c r="F22" s="6">
        <v>9</v>
      </c>
      <c r="G22" s="6">
        <v>6</v>
      </c>
      <c r="H22" s="6">
        <v>12</v>
      </c>
      <c r="I22" s="6">
        <v>6</v>
      </c>
      <c r="K22">
        <f t="shared" si="1"/>
        <v>28</v>
      </c>
      <c r="L22">
        <f t="shared" si="1"/>
        <v>17</v>
      </c>
    </row>
    <row r="24" spans="1:12" ht="13.9" customHeight="1" x14ac:dyDescent="0.35">
      <c r="B24">
        <f>SUM(B17:B22)/22</f>
        <v>0.95454545454545459</v>
      </c>
      <c r="C24">
        <f>SUM(C17:C22)/10</f>
        <v>1</v>
      </c>
      <c r="D24">
        <f>SUM(D17:D22)/36</f>
        <v>0.72222222222222221</v>
      </c>
      <c r="E24">
        <f>SUM(E17:E22)/24</f>
        <v>0.83333333333333337</v>
      </c>
      <c r="F24">
        <f>SUM(F17:F22)/69</f>
        <v>0.52173913043478259</v>
      </c>
      <c r="G24">
        <f>SUM(G17:G22)/51</f>
        <v>0.47058823529411764</v>
      </c>
      <c r="H24">
        <f>SUM(H17:H22)/109</f>
        <v>0.8165137614678899</v>
      </c>
      <c r="I24">
        <f>SUM(I17:I22)/85</f>
        <v>0.63529411764705879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8599-70C3-46FA-8DE0-9B4118DFED0D}">
  <dimension ref="A1:Y27"/>
  <sheetViews>
    <sheetView tabSelected="1" zoomScale="109" zoomScaleNormal="85" workbookViewId="0">
      <selection activeCell="L15" sqref="L15"/>
    </sheetView>
  </sheetViews>
  <sheetFormatPr baseColWidth="10" defaultColWidth="11.54296875" defaultRowHeight="13.9" customHeight="1" x14ac:dyDescent="0.35"/>
  <cols>
    <col min="1" max="9" width="10.453125" customWidth="1"/>
    <col min="10" max="10" width="11.453125" style="1" customWidth="1"/>
    <col min="11" max="11" width="10.453125" customWidth="1"/>
  </cols>
  <sheetData>
    <row r="1" spans="1:11" ht="13.9" customHeight="1" x14ac:dyDescent="0.35">
      <c r="A1" t="s">
        <v>0</v>
      </c>
    </row>
    <row r="3" spans="1:11" ht="13.9" customHeight="1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11" ht="13.9" customHeight="1" x14ac:dyDescent="0.35">
      <c r="A4" t="s">
        <v>8</v>
      </c>
      <c r="B4" s="2">
        <v>5</v>
      </c>
      <c r="C4" s="2">
        <v>5</v>
      </c>
      <c r="D4" s="2">
        <v>3</v>
      </c>
      <c r="F4" s="2">
        <v>3</v>
      </c>
      <c r="J4" s="1">
        <f>SUM(B4:H4)/4</f>
        <v>4</v>
      </c>
    </row>
    <row r="5" spans="1:11" ht="13.9" customHeight="1" x14ac:dyDescent="0.35">
      <c r="A5" t="s">
        <v>9</v>
      </c>
      <c r="B5" s="2">
        <v>4</v>
      </c>
      <c r="C5" s="2">
        <v>3</v>
      </c>
      <c r="D5" s="2">
        <v>3</v>
      </c>
      <c r="E5" s="2">
        <v>2</v>
      </c>
      <c r="F5" s="2">
        <v>3</v>
      </c>
      <c r="G5" s="2">
        <v>3</v>
      </c>
      <c r="H5" s="2">
        <v>3</v>
      </c>
      <c r="J5" s="1">
        <f>SUM(B5:H5)/7</f>
        <v>3</v>
      </c>
    </row>
    <row r="6" spans="1:11" ht="13.9" customHeight="1" x14ac:dyDescent="0.35">
      <c r="A6" t="s">
        <v>10</v>
      </c>
      <c r="B6" s="2">
        <v>5</v>
      </c>
      <c r="C6" s="2">
        <v>3</v>
      </c>
      <c r="D6" s="2">
        <v>4</v>
      </c>
      <c r="F6" s="2">
        <v>4</v>
      </c>
      <c r="J6" s="1">
        <f>SUM(B6:H6)/4</f>
        <v>4</v>
      </c>
    </row>
    <row r="7" spans="1:11" ht="13.9" customHeight="1" x14ac:dyDescent="0.35">
      <c r="A7" t="s">
        <v>11</v>
      </c>
      <c r="B7" s="6">
        <v>5</v>
      </c>
      <c r="C7" s="6">
        <v>5</v>
      </c>
      <c r="D7" s="6">
        <v>5</v>
      </c>
      <c r="E7" s="5"/>
      <c r="F7" s="6">
        <v>3</v>
      </c>
      <c r="J7" s="1">
        <f>SUM(B7:H7)/4</f>
        <v>4.5</v>
      </c>
    </row>
    <row r="8" spans="1:11" ht="13.9" customHeight="1" x14ac:dyDescent="0.35">
      <c r="A8" t="s">
        <v>12</v>
      </c>
      <c r="B8" s="6">
        <v>5</v>
      </c>
      <c r="C8" s="6">
        <v>5</v>
      </c>
      <c r="D8" s="6">
        <v>4</v>
      </c>
      <c r="E8" s="5"/>
      <c r="F8" s="6">
        <v>3</v>
      </c>
      <c r="J8" s="1">
        <f>SUM(B8:H8)/4</f>
        <v>4.25</v>
      </c>
    </row>
    <row r="9" spans="1:11" ht="13.9" customHeight="1" x14ac:dyDescent="0.35">
      <c r="A9" t="s">
        <v>13</v>
      </c>
      <c r="B9" s="6">
        <v>5</v>
      </c>
      <c r="C9" s="6">
        <v>4</v>
      </c>
      <c r="D9" s="6">
        <v>3</v>
      </c>
      <c r="E9" s="5"/>
      <c r="F9" s="6">
        <v>3</v>
      </c>
      <c r="J9" s="1">
        <f>SUM(B9:H9)/4</f>
        <v>3.75</v>
      </c>
    </row>
    <row r="11" spans="1:11" ht="13.9" customHeight="1" x14ac:dyDescent="0.35">
      <c r="A11" s="1"/>
      <c r="B11" s="1">
        <f>SUM(B4:B9)/6</f>
        <v>4.833333333333333</v>
      </c>
      <c r="C11" s="1">
        <f>SUM(C4:C9)/6</f>
        <v>4.166666666666667</v>
      </c>
      <c r="D11" s="1">
        <f>SUM(D4:D9)/6</f>
        <v>3.6666666666666665</v>
      </c>
      <c r="E11" s="1">
        <f>SUM(E4:E9)/1</f>
        <v>2</v>
      </c>
      <c r="F11" s="1">
        <f>SUM(F4:F9)/6</f>
        <v>3.1666666666666665</v>
      </c>
      <c r="G11" s="1">
        <f>SUM(G4:G9)/1</f>
        <v>3</v>
      </c>
      <c r="H11" s="1">
        <f>SUM(H4:H9)/1</f>
        <v>3</v>
      </c>
      <c r="I11" s="1"/>
      <c r="K11" s="1"/>
    </row>
    <row r="14" spans="1:11" ht="13.9" customHeight="1" x14ac:dyDescent="0.35">
      <c r="A14" t="s">
        <v>14</v>
      </c>
    </row>
    <row r="16" spans="1:11" ht="13.9" customHeight="1" x14ac:dyDescent="0.35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11" ht="13.9" customHeight="1" x14ac:dyDescent="0.35">
      <c r="A17" t="s">
        <v>8</v>
      </c>
      <c r="B17" s="2">
        <v>5</v>
      </c>
      <c r="C17" s="2">
        <v>5</v>
      </c>
      <c r="D17" s="2">
        <v>3</v>
      </c>
      <c r="F17" s="2">
        <v>3</v>
      </c>
      <c r="J17" s="1">
        <f>SUM(B17:H17)/4</f>
        <v>4</v>
      </c>
    </row>
    <row r="18" spans="1:11" ht="13.9" customHeight="1" x14ac:dyDescent="0.35">
      <c r="A18" t="s">
        <v>9</v>
      </c>
      <c r="B18" s="2">
        <v>3</v>
      </c>
      <c r="C18" s="2">
        <v>3</v>
      </c>
      <c r="D18" s="2">
        <v>3</v>
      </c>
      <c r="E18" s="2">
        <v>1</v>
      </c>
      <c r="F18" s="2">
        <v>3</v>
      </c>
      <c r="G18" s="2">
        <v>4</v>
      </c>
      <c r="H18" s="2">
        <v>3</v>
      </c>
      <c r="J18" s="1">
        <f>SUM(B18:H18)/7</f>
        <v>2.8571428571428572</v>
      </c>
    </row>
    <row r="19" spans="1:11" ht="13.9" customHeight="1" x14ac:dyDescent="0.35">
      <c r="A19" t="s">
        <v>10</v>
      </c>
      <c r="B19" s="2">
        <v>5</v>
      </c>
      <c r="C19" s="2">
        <v>1</v>
      </c>
      <c r="D19" s="2">
        <v>1</v>
      </c>
      <c r="F19" s="2">
        <v>3</v>
      </c>
      <c r="J19" s="1">
        <f>SUM(B19:H19)/4</f>
        <v>2.5</v>
      </c>
    </row>
    <row r="20" spans="1:11" ht="13.9" customHeight="1" x14ac:dyDescent="0.35">
      <c r="A20" t="s">
        <v>11</v>
      </c>
      <c r="B20" s="6">
        <v>5</v>
      </c>
      <c r="C20" s="6">
        <v>3</v>
      </c>
      <c r="D20" s="6">
        <v>3</v>
      </c>
      <c r="E20" s="5"/>
      <c r="F20" s="6">
        <v>1</v>
      </c>
      <c r="J20" s="1">
        <f>SUM(B20:H20)/4</f>
        <v>3</v>
      </c>
    </row>
    <row r="21" spans="1:11" ht="13.9" customHeight="1" x14ac:dyDescent="0.35">
      <c r="A21" t="s">
        <v>12</v>
      </c>
      <c r="B21" s="6">
        <v>5</v>
      </c>
      <c r="C21" s="6">
        <v>3</v>
      </c>
      <c r="D21" s="6">
        <v>3</v>
      </c>
      <c r="E21" s="5"/>
      <c r="F21" s="6">
        <v>3</v>
      </c>
      <c r="J21" s="1">
        <f>SUM(B21:H21)/4</f>
        <v>3.5</v>
      </c>
    </row>
    <row r="22" spans="1:11" ht="13.9" customHeight="1" x14ac:dyDescent="0.35">
      <c r="A22" t="s">
        <v>13</v>
      </c>
      <c r="B22" s="6">
        <v>5</v>
      </c>
      <c r="C22" s="6">
        <v>5</v>
      </c>
      <c r="D22" s="6">
        <v>3</v>
      </c>
      <c r="E22" s="5"/>
      <c r="F22" s="6">
        <v>3</v>
      </c>
      <c r="J22" s="1">
        <f>SUM(B22:H22)/12</f>
        <v>1.3333333333333333</v>
      </c>
    </row>
    <row r="24" spans="1:11" ht="13.9" customHeight="1" x14ac:dyDescent="0.35">
      <c r="A24" s="1"/>
      <c r="B24" s="1">
        <f>SUM(B17:B22)/6</f>
        <v>4.666666666666667</v>
      </c>
      <c r="C24" s="1">
        <f>SUM(C17:C22)/6</f>
        <v>3.3333333333333335</v>
      </c>
      <c r="D24" s="1">
        <f>SUM(D17:D22)/6</f>
        <v>2.6666666666666665</v>
      </c>
      <c r="E24" s="1">
        <f>SUM(E17:E22)/1</f>
        <v>1</v>
      </c>
      <c r="F24" s="1">
        <f>SUM(F17:F22)/6</f>
        <v>2.6666666666666665</v>
      </c>
      <c r="G24" s="1">
        <f>SUM(G17:G22)/1</f>
        <v>4</v>
      </c>
      <c r="H24" s="1">
        <f>SUM(H17:H22)/1</f>
        <v>3</v>
      </c>
      <c r="I24" s="1"/>
      <c r="K24" s="1"/>
    </row>
    <row r="27" spans="1:11" ht="14.5" x14ac:dyDescent="0.3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Importability_Gemma</vt:lpstr>
      <vt:lpstr>Completeness_Gemma</vt:lpstr>
      <vt:lpstr>Precision_Gemma</vt:lpstr>
      <vt:lpstr>Quality_Gemma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Nast</dc:creator>
  <cp:keywords/>
  <dc:description/>
  <cp:lastModifiedBy>Hauke Wohlers</cp:lastModifiedBy>
  <cp:revision>73</cp:revision>
  <dcterms:created xsi:type="dcterms:W3CDTF">2025-03-10T08:53:57Z</dcterms:created>
  <dcterms:modified xsi:type="dcterms:W3CDTF">2026-09-16T19:54:49Z</dcterms:modified>
  <cp:category/>
  <cp:contentStatus/>
</cp:coreProperties>
</file>