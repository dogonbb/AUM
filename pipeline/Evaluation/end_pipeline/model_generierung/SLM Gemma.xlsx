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uke\Desktop\Uni\Winfo\Master\SoSe 26\Unternehmensmodellierung\Hausarbeit\Auswertung\Excel_fuer_Benni\"/>
    </mc:Choice>
  </mc:AlternateContent>
  <xr:revisionPtr revIDLastSave="0" documentId="8_{DCA97C71-918B-4B45-B2EB-3F89411E568C}" xr6:coauthVersionLast="47" xr6:coauthVersionMax="47" xr10:uidLastSave="{00000000-0000-0000-0000-000000000000}"/>
  <bookViews>
    <workbookView xWindow="-110" yWindow="-110" windowWidth="25820" windowHeight="15500" tabRatio="618" activeTab="4" xr2:uid="{00000000-000D-0000-FFFF-FFFF00000000}"/>
  </bookViews>
  <sheets>
    <sheet name="Overview" sheetId="14" r:id="rId1"/>
    <sheet name="Importability_Gemma" sheetId="2" r:id="rId2"/>
    <sheet name="Completeness_Gemma" sheetId="4" r:id="rId3"/>
    <sheet name="Precision_Gemma" sheetId="6" r:id="rId4"/>
    <sheet name="Quality_Gemma" sheetId="9" r:id="rId5"/>
    <sheet name="Importability_Ministral" sheetId="10" state="hidden" r:id="rId6"/>
    <sheet name="Completeness_Ministral" sheetId="11" state="hidden" r:id="rId7"/>
    <sheet name="Precision_Ministral" sheetId="12" state="hidden" r:id="rId8"/>
    <sheet name="Quality_Ministral" sheetId="13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" i="4" l="1"/>
  <c r="L48" i="6"/>
  <c r="K48" i="6"/>
  <c r="L47" i="6"/>
  <c r="K47" i="6"/>
  <c r="L46" i="6"/>
  <c r="K46" i="6"/>
  <c r="L45" i="6"/>
  <c r="K45" i="6"/>
  <c r="L44" i="6"/>
  <c r="K44" i="6"/>
  <c r="L43" i="6"/>
  <c r="K43" i="6"/>
  <c r="L35" i="6"/>
  <c r="K35" i="6"/>
  <c r="L34" i="6"/>
  <c r="K34" i="6"/>
  <c r="L33" i="6"/>
  <c r="K33" i="6"/>
  <c r="L32" i="6"/>
  <c r="K32" i="6"/>
  <c r="L31" i="6"/>
  <c r="K31" i="6"/>
  <c r="L30" i="6"/>
  <c r="K30" i="6"/>
  <c r="L22" i="6"/>
  <c r="K22" i="6"/>
  <c r="L21" i="6"/>
  <c r="K21" i="6"/>
  <c r="L20" i="6"/>
  <c r="K20" i="6"/>
  <c r="L19" i="6"/>
  <c r="K19" i="6"/>
  <c r="L18" i="6"/>
  <c r="K18" i="6"/>
  <c r="L17" i="6"/>
  <c r="K17" i="6"/>
  <c r="L9" i="6"/>
  <c r="K9" i="6"/>
  <c r="L8" i="6"/>
  <c r="K8" i="6"/>
  <c r="L7" i="6"/>
  <c r="K7" i="6"/>
  <c r="L6" i="6"/>
  <c r="K6" i="6"/>
  <c r="L5" i="6"/>
  <c r="K5" i="6"/>
  <c r="L4" i="6"/>
  <c r="K4" i="6"/>
  <c r="L48" i="4"/>
  <c r="K48" i="4"/>
  <c r="L47" i="4"/>
  <c r="K47" i="4"/>
  <c r="L46" i="4"/>
  <c r="K46" i="4"/>
  <c r="L45" i="4"/>
  <c r="K45" i="4"/>
  <c r="L44" i="4"/>
  <c r="K44" i="4"/>
  <c r="L43" i="4"/>
  <c r="K43" i="4"/>
  <c r="L35" i="4"/>
  <c r="K35" i="4"/>
  <c r="L34" i="4"/>
  <c r="K34" i="4"/>
  <c r="L33" i="4"/>
  <c r="K33" i="4"/>
  <c r="L32" i="4"/>
  <c r="K32" i="4"/>
  <c r="L31" i="4"/>
  <c r="K31" i="4"/>
  <c r="L30" i="4"/>
  <c r="K30" i="4"/>
  <c r="L22" i="4"/>
  <c r="K22" i="4"/>
  <c r="L21" i="4"/>
  <c r="K21" i="4"/>
  <c r="L20" i="4"/>
  <c r="K20" i="4"/>
  <c r="L19" i="4"/>
  <c r="K19" i="4"/>
  <c r="L18" i="4"/>
  <c r="K18" i="4"/>
  <c r="L17" i="4"/>
  <c r="K17" i="4"/>
  <c r="K5" i="4"/>
  <c r="L5" i="4"/>
  <c r="K6" i="4"/>
  <c r="L6" i="4"/>
  <c r="K7" i="4"/>
  <c r="L7" i="4"/>
  <c r="K8" i="4"/>
  <c r="L8" i="4"/>
  <c r="K9" i="4"/>
  <c r="L9" i="4"/>
  <c r="L4" i="4"/>
  <c r="H50" i="2"/>
  <c r="G50" i="2"/>
  <c r="E50" i="2"/>
  <c r="F50" i="2"/>
  <c r="D50" i="2"/>
  <c r="C50" i="2"/>
  <c r="B50" i="2"/>
  <c r="J44" i="2"/>
  <c r="J48" i="2"/>
  <c r="J47" i="2"/>
  <c r="J46" i="2"/>
  <c r="J45" i="2"/>
  <c r="J43" i="2"/>
  <c r="J18" i="2"/>
  <c r="J22" i="2"/>
  <c r="J21" i="2"/>
  <c r="J20" i="2"/>
  <c r="J19" i="2"/>
  <c r="J17" i="2"/>
  <c r="H24" i="2"/>
  <c r="G24" i="2"/>
  <c r="E24" i="2"/>
  <c r="F24" i="2"/>
  <c r="D24" i="2"/>
  <c r="C24" i="2"/>
  <c r="B24" i="2"/>
  <c r="H24" i="13"/>
  <c r="G24" i="13"/>
  <c r="E24" i="13"/>
  <c r="F24" i="13"/>
  <c r="D24" i="13"/>
  <c r="C24" i="13"/>
  <c r="B24" i="13"/>
  <c r="J22" i="13"/>
  <c r="J21" i="13"/>
  <c r="J20" i="13"/>
  <c r="J19" i="13"/>
  <c r="J17" i="13"/>
  <c r="J18" i="13"/>
  <c r="H11" i="13"/>
  <c r="G11" i="13"/>
  <c r="E11" i="13"/>
  <c r="F11" i="13"/>
  <c r="D11" i="13"/>
  <c r="C11" i="13"/>
  <c r="B11" i="13"/>
  <c r="J9" i="13"/>
  <c r="J8" i="13"/>
  <c r="J7" i="13"/>
  <c r="J6" i="13"/>
  <c r="J5" i="13"/>
  <c r="J4" i="13"/>
  <c r="H23" i="10"/>
  <c r="G23" i="10"/>
  <c r="F23" i="10"/>
  <c r="E23" i="10"/>
  <c r="D23" i="10"/>
  <c r="C23" i="10"/>
  <c r="B23" i="10"/>
  <c r="J21" i="10"/>
  <c r="J20" i="10"/>
  <c r="J19" i="10"/>
  <c r="J18" i="10"/>
  <c r="J17" i="10"/>
  <c r="J16" i="10"/>
  <c r="H11" i="10"/>
  <c r="G11" i="10"/>
  <c r="F11" i="10"/>
  <c r="E11" i="10"/>
  <c r="D11" i="10"/>
  <c r="C11" i="10"/>
  <c r="B11" i="10"/>
  <c r="J9" i="10"/>
  <c r="J8" i="10"/>
  <c r="J7" i="10"/>
  <c r="J6" i="10"/>
  <c r="J5" i="10"/>
  <c r="J4" i="10"/>
  <c r="H50" i="9"/>
  <c r="G50" i="9"/>
  <c r="F50" i="9"/>
  <c r="E50" i="9"/>
  <c r="D50" i="9"/>
  <c r="C50" i="9"/>
  <c r="B50" i="9"/>
  <c r="J48" i="9"/>
  <c r="J47" i="9"/>
  <c r="J46" i="9"/>
  <c r="J45" i="9"/>
  <c r="J44" i="9"/>
  <c r="J43" i="9"/>
  <c r="H37" i="9"/>
  <c r="G37" i="9"/>
  <c r="F37" i="9"/>
  <c r="E37" i="9"/>
  <c r="D37" i="9"/>
  <c r="C37" i="9"/>
  <c r="B37" i="9"/>
  <c r="J35" i="9"/>
  <c r="J34" i="9"/>
  <c r="J33" i="9"/>
  <c r="J32" i="9"/>
  <c r="J31" i="9"/>
  <c r="J30" i="9"/>
  <c r="H24" i="9"/>
  <c r="G24" i="9"/>
  <c r="F24" i="9"/>
  <c r="E24" i="9"/>
  <c r="D24" i="9"/>
  <c r="C24" i="9"/>
  <c r="B24" i="9"/>
  <c r="J22" i="9"/>
  <c r="J21" i="9"/>
  <c r="J20" i="9"/>
  <c r="J19" i="9"/>
  <c r="J18" i="9"/>
  <c r="J17" i="9"/>
  <c r="H11" i="9"/>
  <c r="G11" i="9"/>
  <c r="F11" i="9"/>
  <c r="E11" i="9"/>
  <c r="D11" i="9"/>
  <c r="C11" i="9"/>
  <c r="B11" i="9"/>
  <c r="J9" i="9"/>
  <c r="J8" i="9"/>
  <c r="J7" i="9"/>
  <c r="J6" i="9"/>
  <c r="J5" i="9"/>
  <c r="J4" i="9"/>
  <c r="B11" i="6"/>
  <c r="R34" i="13"/>
  <c r="Q34" i="13"/>
  <c r="R32" i="13"/>
  <c r="Q32" i="13"/>
  <c r="C32" i="13"/>
  <c r="B32" i="13"/>
  <c r="T30" i="13"/>
  <c r="E30" i="13"/>
  <c r="W24" i="13"/>
  <c r="V24" i="13"/>
  <c r="U24" i="13"/>
  <c r="T24" i="13"/>
  <c r="S24" i="13"/>
  <c r="R24" i="13"/>
  <c r="Q24" i="13"/>
  <c r="Y22" i="13"/>
  <c r="Y21" i="13"/>
  <c r="Y20" i="13"/>
  <c r="Y19" i="13"/>
  <c r="Y18" i="13"/>
  <c r="Y17" i="13"/>
  <c r="W11" i="13"/>
  <c r="V11" i="13"/>
  <c r="U11" i="13"/>
  <c r="T11" i="13"/>
  <c r="S11" i="13"/>
  <c r="R11" i="13"/>
  <c r="Q11" i="13"/>
  <c r="Y9" i="13"/>
  <c r="Y8" i="13"/>
  <c r="Y7" i="13"/>
  <c r="Y6" i="13"/>
  <c r="Y5" i="13"/>
  <c r="Y4" i="13"/>
  <c r="E37" i="12"/>
  <c r="D37" i="12"/>
  <c r="C37" i="12"/>
  <c r="B37" i="12"/>
  <c r="I24" i="12"/>
  <c r="H24" i="12"/>
  <c r="G24" i="12"/>
  <c r="F24" i="12"/>
  <c r="E24" i="12"/>
  <c r="D24" i="12"/>
  <c r="C24" i="12"/>
  <c r="B24" i="12"/>
  <c r="I11" i="12"/>
  <c r="H11" i="12"/>
  <c r="G11" i="12"/>
  <c r="F11" i="12"/>
  <c r="E11" i="12"/>
  <c r="D11" i="12"/>
  <c r="C11" i="12"/>
  <c r="B11" i="12"/>
  <c r="E37" i="11"/>
  <c r="D37" i="11"/>
  <c r="C37" i="11"/>
  <c r="B37" i="11"/>
  <c r="I24" i="11"/>
  <c r="H24" i="11"/>
  <c r="G24" i="11"/>
  <c r="F24" i="11"/>
  <c r="E24" i="11"/>
  <c r="D24" i="11"/>
  <c r="C24" i="11"/>
  <c r="B24" i="11"/>
  <c r="I11" i="11"/>
  <c r="H11" i="11"/>
  <c r="G11" i="11"/>
  <c r="F11" i="11"/>
  <c r="E11" i="11"/>
  <c r="D11" i="11"/>
  <c r="C11" i="11"/>
  <c r="B11" i="11"/>
  <c r="R33" i="10"/>
  <c r="Q33" i="10"/>
  <c r="R31" i="10"/>
  <c r="Q31" i="10"/>
  <c r="C31" i="10"/>
  <c r="B31" i="10"/>
  <c r="T29" i="10"/>
  <c r="E29" i="10"/>
  <c r="W23" i="10"/>
  <c r="V23" i="10"/>
  <c r="U23" i="10"/>
  <c r="T23" i="10"/>
  <c r="S23" i="10"/>
  <c r="R23" i="10"/>
  <c r="Q23" i="10"/>
  <c r="Y21" i="10"/>
  <c r="Y20" i="10"/>
  <c r="Y19" i="10"/>
  <c r="Y18" i="10"/>
  <c r="Y17" i="10"/>
  <c r="Y16" i="10"/>
  <c r="W11" i="10"/>
  <c r="V11" i="10"/>
  <c r="U11" i="10"/>
  <c r="T11" i="10"/>
  <c r="S11" i="10"/>
  <c r="R11" i="10"/>
  <c r="Q11" i="10"/>
  <c r="Y9" i="10"/>
  <c r="Y8" i="10"/>
  <c r="Y7" i="10"/>
  <c r="Y6" i="10"/>
  <c r="Y5" i="10"/>
  <c r="Y4" i="10"/>
  <c r="I50" i="6"/>
  <c r="H50" i="6"/>
  <c r="G50" i="6"/>
  <c r="F50" i="6"/>
  <c r="E50" i="6"/>
  <c r="D50" i="6"/>
  <c r="C50" i="6"/>
  <c r="B50" i="6"/>
  <c r="I37" i="6"/>
  <c r="H37" i="6"/>
  <c r="G37" i="6"/>
  <c r="F37" i="6"/>
  <c r="E37" i="6"/>
  <c r="D37" i="6"/>
  <c r="C37" i="6"/>
  <c r="B37" i="6"/>
  <c r="I24" i="6"/>
  <c r="H24" i="6"/>
  <c r="G24" i="6"/>
  <c r="F24" i="6"/>
  <c r="E24" i="6"/>
  <c r="D24" i="6"/>
  <c r="C24" i="6"/>
  <c r="B24" i="6"/>
  <c r="I11" i="6"/>
  <c r="H11" i="6"/>
  <c r="G11" i="6"/>
  <c r="F11" i="6"/>
  <c r="E11" i="6"/>
  <c r="D11" i="6"/>
  <c r="C11" i="6"/>
  <c r="I50" i="4"/>
  <c r="H50" i="4"/>
  <c r="G50" i="4"/>
  <c r="F50" i="4"/>
  <c r="E50" i="4"/>
  <c r="D50" i="4"/>
  <c r="C50" i="4"/>
  <c r="B50" i="4"/>
  <c r="I37" i="4"/>
  <c r="H37" i="4"/>
  <c r="G37" i="4"/>
  <c r="F37" i="4"/>
  <c r="E37" i="4"/>
  <c r="D37" i="4"/>
  <c r="C37" i="4"/>
  <c r="B37" i="4"/>
  <c r="I24" i="4"/>
  <c r="H24" i="4"/>
  <c r="G24" i="4"/>
  <c r="F24" i="4"/>
  <c r="E24" i="4"/>
  <c r="D24" i="4"/>
  <c r="C24" i="4"/>
  <c r="B24" i="4"/>
  <c r="I11" i="4"/>
  <c r="H11" i="4"/>
  <c r="G11" i="4"/>
  <c r="F11" i="4"/>
  <c r="E11" i="4"/>
  <c r="D11" i="4"/>
  <c r="C11" i="4"/>
  <c r="B11" i="4"/>
  <c r="H37" i="2"/>
  <c r="G37" i="2"/>
  <c r="F37" i="2"/>
  <c r="E37" i="2"/>
  <c r="D37" i="2"/>
  <c r="C37" i="2"/>
  <c r="B37" i="2"/>
  <c r="J35" i="2"/>
  <c r="J34" i="2"/>
  <c r="J33" i="2"/>
  <c r="J32" i="2"/>
  <c r="J31" i="2"/>
  <c r="J30" i="2"/>
  <c r="H11" i="2"/>
  <c r="G11" i="2"/>
  <c r="F11" i="2"/>
  <c r="E11" i="2"/>
  <c r="D11" i="2"/>
  <c r="C11" i="2"/>
  <c r="B11" i="2"/>
  <c r="J9" i="2"/>
  <c r="J8" i="2"/>
  <c r="J7" i="2"/>
  <c r="J6" i="2"/>
  <c r="J5" i="2"/>
  <c r="J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tc={1E9A196B-0BE0-4B31-8A7E-75A94CFA5D8D}</author>
    <author>tc={BD6700E6-9A8C-4E11-B5E1-A7ED93306281}</author>
    <author>tc={180E0BFF-E791-4CD0-B3F9-9255FC1FB43B}</author>
    <author>tc={EFB6AEAF-0249-4B86-AB73-9A3BBBCA5A90}</author>
    <author>tc={7FA6B93C-8C89-49C9-BB0C-4E46077DE628}</author>
    <author>tc={AEE017E7-F036-4202-85C1-14DE22F49B78}</author>
    <author>tc={8DE8F51D-C348-4C46-A9E3-069C9B7BDEE0}</author>
    <author>tc={4E690148-625B-4182-BC0D-E896FEA66B5C}</author>
    <author>tc={CD9E9C24-F1B5-447E-9CE7-597C21DE0851}</author>
    <author>tc={43EF6060-15D2-4E6C-A64B-DDE09F98A535}</author>
    <author>tc={EBCB4289-40B8-4CFB-A85E-31086C7293D3}</author>
    <author>tc={636AC0D7-A0BB-425E-9B50-F45C4B63565F}</author>
    <author>tc={9C1C4F06-4ED5-454F-A5BB-F620001A43CF}</author>
    <author>tc={9C4C0CEA-4264-4540-947C-C3C84D7A474C}</author>
    <author>tc={441133A1-865B-47C3-A2B4-8CA32B293333}</author>
    <author>tc={B39B6CC2-C7A0-4463-A5F0-42AD4C09C437}</author>
  </authors>
  <commentList>
    <comment ref="G4" authorId="0" shapeId="0" xr:uid="{1E9A196B-0BE0-4B31-8A7E-75A94CFA5D8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gibt zusätzliche Relationsships, die nicht falsch, dafür aber unnötig sind.</t>
      </text>
    </comment>
    <comment ref="G5" authorId="1" shapeId="0" xr:uid="{BD6700E6-9A8C-4E11-B5E1-A7ED9330628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Starke Probleme bei AND-Relationships</t>
      </text>
    </comment>
    <comment ref="H5" authorId="2" shapeId="0" xr:uid="{180E0BFF-E791-4CD0-B3F9-9255FC1FB43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Bei dieser Erweiterung scheint er auszusteigen, aber er verbessert sich im AND-Relationship</t>
      </text>
    </comment>
    <comment ref="C6" authorId="3" shapeId="0" xr:uid="{EFB6AEAF-0249-4B86-AB73-9A3BBBCA5A9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gibt eine Beziehung und diese ist richtig dargestellt. Ergebnismenge verlangt aber keine</t>
      </text>
    </comment>
    <comment ref="E6" authorId="4" shapeId="0" xr:uid="{7FA6B93C-8C89-49C9-BB0C-4E46077DE62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Auch hier gibt es eine weitere richtige Relationsship über die Vorgabe hinaus</t>
      </text>
    </comment>
    <comment ref="G6" authorId="5" shapeId="0" xr:uid="{AEE017E7-F036-4202-85C1-14DE22F49B7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gibt weitere modellierte Relationships, die aus meiner Sicht definitiv Sinn ergeben. Die gewollten sind auf jeden Fall auch vorhanden.</t>
      </text>
    </comment>
    <comment ref="B19" authorId="6" shapeId="0" xr:uid="{8DE8F51D-C348-4C46-A9E3-069C9B7BDEE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Sehr gutes Modell, auch mit Erweiterungen, die sehr sinnvoll wären</t>
      </text>
    </comment>
    <comment ref="F19" authorId="7" shapeId="0" xr:uid="{4E690148-625B-4182-BC0D-E896FEA66B5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Sehr schönes Konzeptmodell mit Erweiterungen, die sinnvoll sind</t>
      </text>
    </comment>
    <comment ref="B30" authorId="8" shapeId="0" xr:uid="{CD9E9C24-F1B5-447E-9CE7-597C21DE08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wurde unter anderem Worker/Individual modelliert. Hinweis darauf, dass sich SLM schwer tut Grenzen, was modelliert werden muss , zu ziehen.</t>
      </text>
    </comment>
    <comment ref="D30" authorId="9" shapeId="0" xr:uid="{43EF6060-15D2-4E6C-A64B-DDE09F98A53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wurden unnötige weitere Individuen modelliert und Heat Pump und Smart Heat wurde unterschieden, obwohl dies nicht Teil des Modells sein soll.</t>
      </text>
    </comment>
    <comment ref="D31" authorId="10" shapeId="0" xr:uid="{EBCB4289-40B8-4CFB-A85E-31086C7293D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gibt in den verschiedenen Runs manchmal Unterschiede in der Bezeichnung, z.B. manchmal mit und ohne "Define"</t>
      </text>
    </comment>
    <comment ref="G31" authorId="11" shapeId="0" xr:uid="{636AC0D7-A0BB-425E-9B50-F45C4B63565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Ein AND-Eingang ist falsch dargestellt und zu den ANDs existieren immer noch normale Relationships</t>
      </text>
    </comment>
    <comment ref="B32" authorId="12" shapeId="0" xr:uid="{9C1C4F06-4ED5-454F-A5BB-F620001A43C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wurden deutlich mehr Konzepte als nötig erkannt und modelliert</t>
      </text>
    </comment>
    <comment ref="E32" authorId="13" shapeId="0" xr:uid="{9C4C0CEA-4264-4540-947C-C3C84D7A474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Auch hier gibt es eine weitere richtige Relationsship über die Vorgabe hinaus</t>
      </text>
    </comment>
    <comment ref="F32" authorId="14" shapeId="0" xr:uid="{441133A1-865B-47C3-A2B4-8CA32B29333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gibt viele weitere Konzepte</t>
      </text>
    </comment>
    <comment ref="G32" authorId="15" shapeId="0" xr:uid="{B39B6CC2-C7A0-4463-A5F0-42AD4C09C43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gibt viele weitere Relationships, die nicht unbedingt Sinn ergeben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tc={99FC4A95-33C2-4D57-B830-0EDD4C7C157F}</author>
    <author>tc={822DEE04-C4E5-4AE0-8CDC-A8AD61750C03}</author>
    <author>tc={4DC9933C-3BF4-4112-A79A-394E62FFA414}</author>
  </authors>
  <commentList>
    <comment ref="D18" authorId="0" shapeId="0" xr:uid="{99FC4A95-33C2-4D57-B830-0EDD4C7C157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Alle Konzepte wurden klein geschrieben, aber sollte kein Problem sein</t>
      </text>
    </comment>
    <comment ref="F31" authorId="1" shapeId="0" xr:uid="{822DEE04-C4E5-4AE0-8CDC-A8AD61750C0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Result document und nicht als Campaign result document bezeichnet und das Target Document. Beides im Konzeptmodell anders bezeichnet und damit nicht mehr präsize</t>
      </text>
    </comment>
    <comment ref="H31" authorId="2" shapeId="0" xr:uid="{4DC9933C-3BF4-4112-A79A-394E62FFA41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Modellierung schlägt ein etwas anderes Modell vor, welches aus meiner Sicht nicht präzise genug in Beschreibung und Modellierung ist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tc={D141B81C-1570-4F3D-9A2F-CED5B57568DF}</author>
    <author>tc={04D32E6A-511A-4B7F-8E2F-425F72AE2246}</author>
    <author>tc={A597376F-F79F-4CEE-92AE-1F57482A7967}</author>
  </authors>
  <commentList>
    <comment ref="E5" authorId="0" shapeId="0" xr:uid="{D141B81C-1570-4F3D-9A2F-CED5B57568D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Aufgrund der schlechten AND-Relationsships ist das Modell schwer zu durchdringen</t>
      </text>
    </comment>
    <comment ref="B32" authorId="1" shapeId="0" xr:uid="{04D32E6A-511A-4B7F-8E2F-425F72AE224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Trotz vieler zusätzlicher Konzepte wird der Sachverhalt korrekt abgebildet</t>
      </text>
    </comment>
    <comment ref="C44" authorId="2" shapeId="0" xr:uid="{A597376F-F79F-4CEE-92AE-1F57482A796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Obwohl die Qualität bei den Prozessmodellen oft die Note 3 bekommt, muss man sagen, dass sich das Skript und die gesamte Pipeline sehr gut dazu eignet Prozessmodelle zu erstellen, solange keine Dekomposition notwendig ist.</t>
      </text>
    </comment>
  </commentList>
</comments>
</file>

<file path=xl/sharedStrings.xml><?xml version="1.0" encoding="utf-8"?>
<sst xmlns="http://schemas.openxmlformats.org/spreadsheetml/2006/main" count="417" uniqueCount="40">
  <si>
    <t>controlled_gemma_e4b</t>
  </si>
  <si>
    <t>Number of complete models</t>
  </si>
  <si>
    <t>controlled_GPT-4o</t>
  </si>
  <si>
    <t>S1</t>
  </si>
  <si>
    <t>S2</t>
  </si>
  <si>
    <t>S3.1</t>
  </si>
  <si>
    <t>S3.2</t>
  </si>
  <si>
    <t>S4.1</t>
  </si>
  <si>
    <t>S4.2</t>
  </si>
  <si>
    <t>S4.3</t>
  </si>
  <si>
    <t>ARM</t>
  </si>
  <si>
    <t>BPM</t>
  </si>
  <si>
    <t>CM</t>
  </si>
  <si>
    <t>GM</t>
  </si>
  <si>
    <t>PM</t>
  </si>
  <si>
    <t>TRM</t>
  </si>
  <si>
    <t>controlled_26b</t>
  </si>
  <si>
    <t>organized_gemma_e4b</t>
  </si>
  <si>
    <t>organized_GPT-4o</t>
  </si>
  <si>
    <t>organized_26b</t>
  </si>
  <si>
    <t>tangled_GPT-4o</t>
  </si>
  <si>
    <t>General Model</t>
  </si>
  <si>
    <t>Es wird immer das beste Modell bewertet</t>
  </si>
  <si>
    <t>S3</t>
  </si>
  <si>
    <t>S4</t>
  </si>
  <si>
    <t>controlled_gemma_26b</t>
  </si>
  <si>
    <t>organized_24b</t>
  </si>
  <si>
    <t>Perfekte Darstellung</t>
  </si>
  <si>
    <t>100% korrekte Darstellung, aber visuelle Anpassungen nötig</t>
  </si>
  <si>
    <t>Es fehlen einzelne Relationen und Konzepte Sachverhalt ist trotzdem verständlich</t>
  </si>
  <si>
    <t xml:space="preserve">Der Sachverhalt ist schwer verständlich und muss ergänzt werden </t>
  </si>
  <si>
    <t>Das Modell hat nichts mit dem Sachverhalt zu tun und muss von Grund auf neu modelliert werden</t>
  </si>
  <si>
    <t>Abbildung des Sachverhalts</t>
  </si>
  <si>
    <t>/ subjektive Qualität</t>
  </si>
  <si>
    <t>controlled_ministral</t>
  </si>
  <si>
    <t>organized_ministral</t>
  </si>
  <si>
    <t>tangled_ministral</t>
  </si>
  <si>
    <t>Skala 1-4</t>
  </si>
  <si>
    <t>Component</t>
  </si>
  <si>
    <t>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</si>
</sst>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1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1" xfId="1" applyFont="1" applyProtection="1"/>
    <xf numFmtId="0" fontId="2" fillId="2" borderId="1" xfId="1" applyProtection="1"/>
    <xf numFmtId="0" fontId="0" fillId="3" borderId="0" xfId="0" applyFill="1"/>
    <xf numFmtId="0" fontId="0" fillId="5" borderId="0" xfId="0" applyFill="1"/>
    <xf numFmtId="0" fontId="3" fillId="4" borderId="0" xfId="2"/>
    <xf numFmtId="0" fontId="0" fillId="6" borderId="0" xfId="0" applyFill="1"/>
  </cellXfs>
  <cellStyles count="3">
    <cellStyle name="Excel Built-in Note" xfId="1" xr:uid="{00000000-0005-0000-0000-000006000000}"/>
    <cellStyle name="Gut" xfId="2" builtinId="26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152400</xdr:rowOff>
    </xdr:from>
    <xdr:to>
      <xdr:col>7</xdr:col>
      <xdr:colOff>714375</xdr:colOff>
      <xdr:row>9</xdr:row>
      <xdr:rowOff>114300</xdr:rowOff>
    </xdr:to>
    <xdr:pic>
      <xdr:nvPicPr>
        <xdr:cNvPr id="5" name="Bild 1">
          <a:extLst>
            <a:ext uri="{FF2B5EF4-FFF2-40B4-BE49-F238E27FC236}">
              <a16:creationId xmlns:a16="http://schemas.microsoft.com/office/drawing/2014/main" id="{7582627E-2D5B-BA22-5587-9438FBE46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2400"/>
          <a:ext cx="5619750" cy="1676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stbenutzer" id="{B9829F0C-CAEB-415D-8C9E-BE4620C15F4D}" userId="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6-07-24T14:00:54.93" personId="{B9829F0C-CAEB-415D-8C9E-BE4620C15F4D}" id="{1E9A196B-0BE0-4B31-8A7E-75A94CFA5D8D}">
    <text>Es gibt zusätzliche Relationsships, die nicht falsch, dafür aber unnötig sind.</text>
  </threadedComment>
  <threadedComment ref="G5" dT="2026-07-24T14:12:37.74" personId="{B9829F0C-CAEB-415D-8C9E-BE4620C15F4D}" id="{BD6700E6-9A8C-4E11-B5E1-A7ED93306281}">
    <text>Starke Probleme bei AND-Relationships</text>
  </threadedComment>
  <threadedComment ref="H5" dT="2026-07-24T14:48:20.71" personId="{B9829F0C-CAEB-415D-8C9E-BE4620C15F4D}" id="{180E0BFF-E791-4CD0-B3F9-9255FC1FB43B}">
    <text>Bei dieser Erweiterung scheint er auszusteigen, aber er verbessert sich im AND-Relationship</text>
  </threadedComment>
  <threadedComment ref="C6" dT="2026-07-24T11:39:49.01" personId="{B9829F0C-CAEB-415D-8C9E-BE4620C15F4D}" id="{EFB6AEAF-0249-4B86-AB73-9A3BBBCA5A90}">
    <text>Es gibt eine Beziehung und diese ist richtig dargestellt. Ergebnismenge verlangt aber keine</text>
  </threadedComment>
  <threadedComment ref="E6" dT="2026-07-24T13:52:27.15" personId="{B9829F0C-CAEB-415D-8C9E-BE4620C15F4D}" id="{7FA6B93C-8C89-49C9-BB0C-4E46077DE628}">
    <text>Auch hier gibt es eine weitere richtige Relationsship über die Vorgabe hinaus</text>
  </threadedComment>
  <threadedComment ref="G6" dT="2026-07-24T14:29:22.17" personId="{B9829F0C-CAEB-415D-8C9E-BE4620C15F4D}" id="{AEE017E7-F036-4202-85C1-14DE22F49B78}">
    <text>Es gibt weitere modellierte Relationships, die aus meiner Sicht definitiv Sinn ergeben. Die gewollten sind auf jeden Fall auch vorhanden.</text>
  </threadedComment>
  <threadedComment ref="B19" dT="2026-07-25T08:38:58.68" personId="{B9829F0C-CAEB-415D-8C9E-BE4620C15F4D}" id="{8DE8F51D-C348-4C46-A9E3-069C9B7BDEE0}">
    <text>Sehr gutes Modell, auch mit Erweiterungen, die sehr sinnvoll wären</text>
  </threadedComment>
  <threadedComment ref="F19" dT="2026-07-25T08:59:14.03" personId="{B9829F0C-CAEB-415D-8C9E-BE4620C15F4D}" id="{4E690148-625B-4182-BC0D-E896FEA66B5C}">
    <text>Sehr schönes Konzeptmodell mit Erweiterungen, die sinnvoll sind</text>
  </threadedComment>
  <threadedComment ref="B30" dT="2026-07-25T06:36:18.01" personId="{B9829F0C-CAEB-415D-8C9E-BE4620C15F4D}" id="{CD9E9C24-F1B5-447E-9CE7-597C21DE0851}">
    <text>Es wurde unter anderem Worker/Individual modelliert. Hinweis darauf, dass sich SLM schwer tut Grenzen, was modelliert werden muss , zu ziehen.</text>
  </threadedComment>
  <threadedComment ref="D30" dT="2026-07-25T06:52:33.46" personId="{B9829F0C-CAEB-415D-8C9E-BE4620C15F4D}" id="{43EF6060-15D2-4E6C-A64B-DDE09F98A535}">
    <text>Es wurden unnötige weitere Individuen modelliert und Heat Pump und Smart Heat wurde unterschieden, obwohl dies nicht Teil des Modells sein soll.</text>
  </threadedComment>
  <threadedComment ref="D31" dT="2026-07-25T07:03:54.06" personId="{B9829F0C-CAEB-415D-8C9E-BE4620C15F4D}" id="{EBCB4289-40B8-4CFB-A85E-31086C7293D3}">
    <text>Es gibt in den verschiedenen Runs manchmal Unterschiede in der Bezeichnung, z.B. manchmal mit und ohne "Define"</text>
  </threadedComment>
  <threadedComment ref="G31" dT="2026-07-25T07:16:29.51" personId="{B9829F0C-CAEB-415D-8C9E-BE4620C15F4D}" id="{636AC0D7-A0BB-425E-9B50-F45C4B63565F}">
    <text>Ein AND-Eingang ist falsch dargestellt und zu den ANDs existieren immer noch normale Relationships</text>
  </threadedComment>
  <threadedComment ref="B32" dT="2026-07-25T06:44:39.79" personId="{B9829F0C-CAEB-415D-8C9E-BE4620C15F4D}" id="{9C1C4F06-4ED5-454F-A5BB-F620001A43CF}">
    <text>Es wurden deutlich mehr Konzepte als nötig erkannt und modelliert</text>
  </threadedComment>
  <threadedComment ref="E32" dT="2026-07-25T07:07:24.07" personId="{B9829F0C-CAEB-415D-8C9E-BE4620C15F4D}" id="{9C4C0CEA-4264-4540-947C-C3C84D7A474C}">
    <text>Auch hier gibt es eine weitere richtige Relationsship über die Vorgabe hinaus</text>
  </threadedComment>
  <threadedComment ref="F32" dT="2026-07-25T07:28:42.89" personId="{B9829F0C-CAEB-415D-8C9E-BE4620C15F4D}" id="{441133A1-865B-47C3-A2B4-8CA32B293333}">
    <text>Es gibt viele weitere Konzepte</text>
  </threadedComment>
  <threadedComment ref="G32" dT="2026-07-25T07:28:59.25" personId="{B9829F0C-CAEB-415D-8C9E-BE4620C15F4D}" id="{B39B6CC2-C7A0-4463-A5F0-42AD4C09C437}">
    <text>Es gibt viele weitere Relationships, die nicht unbedingt Sinn ergeben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8" dT="2026-07-25T08:53:14.29" personId="{B9829F0C-CAEB-415D-8C9E-BE4620C15F4D}" id="{99FC4A95-33C2-4D57-B830-0EDD4C7C157F}">
    <text>Alle Konzepte wurden klein geschrieben, aber sollte kein Problem sein</text>
  </threadedComment>
  <threadedComment ref="F31" dT="2026-07-25T07:17:14.51" personId="{B9829F0C-CAEB-415D-8C9E-BE4620C15F4D}" id="{822DEE04-C4E5-4AE0-8CDC-A8AD61750C03}">
    <text>Result document und nicht als Campaign result document bezeichnet und das Target Document. Beides im Konzeptmodell anders bezeichnet und damit nicht mehr präsize</text>
  </threadedComment>
  <threadedComment ref="H31" dT="2026-07-25T08:02:36.56" personId="{B9829F0C-CAEB-415D-8C9E-BE4620C15F4D}" id="{4DC9933C-3BF4-4112-A79A-394E62FFA414}">
    <text>Die Modellierung schlägt ein etwas anderes Modell vor, welches aus meiner Sicht nicht präzise genug in Beschreibung und Modellierung ist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5" dT="2026-07-24T14:13:57.48" personId="{B9829F0C-CAEB-415D-8C9E-BE4620C15F4D}" id="{D141B81C-1570-4F3D-9A2F-CED5B57568DF}">
    <text>Aufgrund der schlechten AND-Relationsships ist das Modell schwer zu durchdringen</text>
  </threadedComment>
  <threadedComment ref="B32" dT="2026-07-25T06:49:12.67" personId="{B9829F0C-CAEB-415D-8C9E-BE4620C15F4D}" id="{04D32E6A-511A-4B7F-8E2F-425F72AE2246}">
    <text>Trotz vieler zusätzlicher Konzepte wird der Sachverhalt korrekt abgebildet</text>
  </threadedComment>
  <threadedComment ref="C44" dT="2026-07-25T18:32:27.49" personId="{B9829F0C-CAEB-415D-8C9E-BE4620C15F4D}" id="{A597376F-F79F-4CEE-92AE-1F57482A7967}">
    <text>Obwohl die Qualität bei den Prozessmodellen oft die Note 3 bekommt, muss man sagen, dass sich das Skript und die gesamte Pipeline sehr gut dazu eignet Prozessmodelle zu erstellen, solange keine Dekomposition notwendig ist.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1DB744-32E8-4278-9ACA-D5CEE02BCF43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3A5C-363C-4CD6-BE67-2C69EFDA5EE3}">
  <dimension ref="A1"/>
  <sheetViews>
    <sheetView workbookViewId="0">
      <selection activeCell="H18" sqref="H18"/>
    </sheetView>
  </sheetViews>
  <sheetFormatPr baseColWidth="10" defaultColWidth="11.453125" defaultRowHeight="14.5" x14ac:dyDescent="0.35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1"/>
  <sheetViews>
    <sheetView topLeftCell="A37" zoomScale="109" zoomScaleNormal="85" workbookViewId="0">
      <selection activeCell="A52" sqref="A52:XFD66"/>
    </sheetView>
  </sheetViews>
  <sheetFormatPr baseColWidth="10" defaultColWidth="11.54296875" defaultRowHeight="13.9" customHeight="1" x14ac:dyDescent="0.35"/>
  <cols>
    <col min="1" max="9" width="10.453125" customWidth="1"/>
    <col min="10" max="10" width="11.453125" style="1" customWidth="1"/>
    <col min="11" max="11" width="10.453125" customWidth="1"/>
  </cols>
  <sheetData>
    <row r="1" spans="1:11" ht="13.9" customHeight="1" x14ac:dyDescent="0.35">
      <c r="A1" t="s">
        <v>0</v>
      </c>
    </row>
    <row r="3" spans="1:11" ht="13.9" customHeight="1" x14ac:dyDescent="0.35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11" ht="13.9" customHeight="1" x14ac:dyDescent="0.35">
      <c r="A4" s="5" t="s">
        <v>10</v>
      </c>
      <c r="B4" s="4">
        <v>3</v>
      </c>
      <c r="C4" s="4">
        <v>3</v>
      </c>
      <c r="D4" s="4">
        <v>2</v>
      </c>
      <c r="F4" s="4">
        <v>2</v>
      </c>
      <c r="J4" s="1">
        <f>SUM(B4:H4)/12</f>
        <v>0.83333333333333337</v>
      </c>
    </row>
    <row r="5" spans="1:11" ht="13.9" customHeight="1" x14ac:dyDescent="0.35">
      <c r="A5" s="5" t="s">
        <v>11</v>
      </c>
      <c r="B5" s="4">
        <v>3</v>
      </c>
      <c r="C5" s="4">
        <v>3</v>
      </c>
      <c r="D5" s="4">
        <v>3</v>
      </c>
      <c r="E5" s="4">
        <v>1</v>
      </c>
      <c r="F5" s="4">
        <v>3</v>
      </c>
      <c r="G5" s="4">
        <v>2</v>
      </c>
      <c r="H5" s="4">
        <v>0</v>
      </c>
      <c r="J5" s="1">
        <f>SUM(B5:H5)/21</f>
        <v>0.7142857142857143</v>
      </c>
    </row>
    <row r="6" spans="1:11" ht="13.9" customHeight="1" x14ac:dyDescent="0.35">
      <c r="A6" s="5" t="s">
        <v>12</v>
      </c>
      <c r="B6" s="4">
        <v>3</v>
      </c>
      <c r="C6" s="4">
        <v>3</v>
      </c>
      <c r="D6" s="4">
        <v>1</v>
      </c>
      <c r="F6" s="4">
        <v>2</v>
      </c>
      <c r="J6" s="1">
        <f>SUM(B6:H6)/12</f>
        <v>0.75</v>
      </c>
    </row>
    <row r="7" spans="1:11" ht="13.9" customHeight="1" x14ac:dyDescent="0.35">
      <c r="A7" t="s">
        <v>13</v>
      </c>
      <c r="B7" s="6">
        <v>3</v>
      </c>
      <c r="C7" s="6">
        <v>1</v>
      </c>
      <c r="D7" s="6">
        <v>1</v>
      </c>
      <c r="F7" s="6">
        <v>1</v>
      </c>
      <c r="J7" s="1">
        <f>SUM(B7:H7)/12</f>
        <v>0.5</v>
      </c>
    </row>
    <row r="8" spans="1:11" ht="13.9" customHeight="1" x14ac:dyDescent="0.35">
      <c r="A8" t="s">
        <v>14</v>
      </c>
      <c r="B8" s="6">
        <v>3</v>
      </c>
      <c r="C8" s="6">
        <v>2</v>
      </c>
      <c r="D8" s="6">
        <v>2</v>
      </c>
      <c r="F8" s="6">
        <v>3</v>
      </c>
      <c r="J8" s="1">
        <f>SUM(B8:H8)/12</f>
        <v>0.83333333333333337</v>
      </c>
    </row>
    <row r="9" spans="1:11" ht="13.9" customHeight="1" x14ac:dyDescent="0.35">
      <c r="A9" t="s">
        <v>15</v>
      </c>
      <c r="B9" s="6">
        <v>2</v>
      </c>
      <c r="C9" s="6">
        <v>2</v>
      </c>
      <c r="D9" s="6">
        <v>0</v>
      </c>
      <c r="F9" s="6">
        <v>0</v>
      </c>
      <c r="J9" s="1">
        <f>SUM(B9:H9)/12</f>
        <v>0.33333333333333331</v>
      </c>
    </row>
    <row r="11" spans="1:11" ht="13.9" customHeight="1" x14ac:dyDescent="0.35">
      <c r="A11" s="1"/>
      <c r="B11" s="1">
        <f>SUM(B4:B9)/18</f>
        <v>0.94444444444444442</v>
      </c>
      <c r="C11" s="1">
        <f>SUM(C4:C9)/18</f>
        <v>0.77777777777777779</v>
      </c>
      <c r="D11" s="1">
        <f>SUM(D4:D9)/18</f>
        <v>0.5</v>
      </c>
      <c r="E11" s="1">
        <f>SUM(E4:E9)/3</f>
        <v>0.33333333333333331</v>
      </c>
      <c r="F11" s="1">
        <f>SUM(F4:F9)/18</f>
        <v>0.61111111111111116</v>
      </c>
      <c r="G11" s="1">
        <f>SUM(G4:G9)/3</f>
        <v>0.66666666666666663</v>
      </c>
      <c r="H11" s="1">
        <f>SUM(H4:H9)/3</f>
        <v>0</v>
      </c>
      <c r="I11" s="1"/>
      <c r="K11" s="1"/>
    </row>
    <row r="14" spans="1:11" ht="13.9" customHeight="1" x14ac:dyDescent="0.35">
      <c r="A14" t="s">
        <v>16</v>
      </c>
    </row>
    <row r="16" spans="1:11" ht="13.9" customHeight="1" x14ac:dyDescent="0.35"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</row>
    <row r="17" spans="1:11" ht="13.9" customHeight="1" x14ac:dyDescent="0.35">
      <c r="A17" t="s">
        <v>10</v>
      </c>
      <c r="B17" s="7">
        <v>1</v>
      </c>
      <c r="C17" s="7">
        <v>1</v>
      </c>
      <c r="D17" s="7">
        <v>1</v>
      </c>
      <c r="F17" s="7">
        <v>1</v>
      </c>
      <c r="J17" s="1">
        <f>SUM(B17:H17)/8</f>
        <v>0.5</v>
      </c>
    </row>
    <row r="18" spans="1:11" ht="13.9" customHeight="1" x14ac:dyDescent="0.35">
      <c r="A18" t="s">
        <v>11</v>
      </c>
      <c r="B18" s="7">
        <v>1</v>
      </c>
      <c r="C18" s="7">
        <v>2</v>
      </c>
      <c r="D18" s="7">
        <v>2</v>
      </c>
      <c r="E18" s="7">
        <v>1</v>
      </c>
      <c r="F18" s="7">
        <v>2</v>
      </c>
      <c r="G18" s="7">
        <v>1</v>
      </c>
      <c r="H18" s="7">
        <v>1</v>
      </c>
      <c r="J18" s="1">
        <f>SUM(B18:H18)/14</f>
        <v>0.7142857142857143</v>
      </c>
    </row>
    <row r="19" spans="1:11" ht="13.9" customHeight="1" x14ac:dyDescent="0.35">
      <c r="A19" t="s">
        <v>12</v>
      </c>
      <c r="B19" s="7">
        <v>2</v>
      </c>
      <c r="C19" s="7">
        <v>2</v>
      </c>
      <c r="D19" s="7">
        <v>2</v>
      </c>
      <c r="F19" s="7">
        <v>1</v>
      </c>
      <c r="J19" s="1">
        <f>SUM(B19:H19)/8</f>
        <v>0.875</v>
      </c>
    </row>
    <row r="20" spans="1:11" ht="13.9" customHeight="1" x14ac:dyDescent="0.35">
      <c r="A20" t="s">
        <v>13</v>
      </c>
      <c r="B20" s="6">
        <v>2</v>
      </c>
      <c r="C20" s="6">
        <v>1</v>
      </c>
      <c r="D20" s="6">
        <v>1</v>
      </c>
      <c r="F20" s="6">
        <v>0</v>
      </c>
      <c r="J20" s="1">
        <f>SUM(B20:H20)/8</f>
        <v>0.5</v>
      </c>
    </row>
    <row r="21" spans="1:11" ht="13.9" customHeight="1" x14ac:dyDescent="0.35">
      <c r="A21" t="s">
        <v>14</v>
      </c>
      <c r="B21" s="6">
        <v>1</v>
      </c>
      <c r="C21" s="6">
        <v>1</v>
      </c>
      <c r="D21" s="6">
        <v>1</v>
      </c>
      <c r="F21" s="6">
        <v>1</v>
      </c>
      <c r="J21" s="1">
        <f>SUM(B21:H21)/8</f>
        <v>0.5</v>
      </c>
    </row>
    <row r="22" spans="1:11" ht="13.9" customHeight="1" x14ac:dyDescent="0.35">
      <c r="A22" t="s">
        <v>15</v>
      </c>
      <c r="B22" s="6">
        <v>1</v>
      </c>
      <c r="C22" s="6">
        <v>1</v>
      </c>
      <c r="D22" s="6">
        <v>1</v>
      </c>
      <c r="F22" s="6">
        <v>1</v>
      </c>
      <c r="J22" s="1">
        <f>SUM(B22:H22)/8</f>
        <v>0.5</v>
      </c>
    </row>
    <row r="24" spans="1:11" ht="13.9" customHeight="1" x14ac:dyDescent="0.35">
      <c r="A24" s="1"/>
      <c r="B24" s="1">
        <f>SUM(B17:B22)/12</f>
        <v>0.66666666666666663</v>
      </c>
      <c r="C24" s="1">
        <f>SUM(C17:C22)/12</f>
        <v>0.66666666666666663</v>
      </c>
      <c r="D24" s="1">
        <f>SUM(D17:D22)/12</f>
        <v>0.66666666666666663</v>
      </c>
      <c r="E24" s="1">
        <f>SUM(E17:E22)/2</f>
        <v>0.5</v>
      </c>
      <c r="F24" s="1">
        <f>SUM(F17:F22)/12</f>
        <v>0.5</v>
      </c>
      <c r="G24" s="1">
        <f>SUM(G17:G22)/2</f>
        <v>0.5</v>
      </c>
      <c r="H24" s="1">
        <f>SUM(H17:H22)/2</f>
        <v>0.5</v>
      </c>
      <c r="I24" s="1"/>
      <c r="K24" s="1"/>
    </row>
    <row r="27" spans="1:11" ht="13.9" customHeight="1" x14ac:dyDescent="0.35">
      <c r="A27" t="s">
        <v>17</v>
      </c>
    </row>
    <row r="29" spans="1:11" ht="13.9" customHeight="1" x14ac:dyDescent="0.35"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</row>
    <row r="30" spans="1:11" ht="13.9" customHeight="1" x14ac:dyDescent="0.35">
      <c r="A30" t="s">
        <v>10</v>
      </c>
      <c r="B30" s="4">
        <v>3</v>
      </c>
      <c r="C30" s="4">
        <v>1</v>
      </c>
      <c r="D30" s="4">
        <v>1</v>
      </c>
      <c r="F30" s="4">
        <v>1</v>
      </c>
      <c r="J30" s="1">
        <f>SUM(B30:H30)/12</f>
        <v>0.5</v>
      </c>
    </row>
    <row r="31" spans="1:11" ht="13.9" customHeight="1" x14ac:dyDescent="0.35">
      <c r="A31" t="s">
        <v>11</v>
      </c>
      <c r="B31" s="4">
        <v>3</v>
      </c>
      <c r="C31" s="4">
        <v>3</v>
      </c>
      <c r="D31" s="4">
        <v>2</v>
      </c>
      <c r="E31" s="4">
        <v>2</v>
      </c>
      <c r="F31" s="4">
        <v>3</v>
      </c>
      <c r="G31" s="4">
        <v>1</v>
      </c>
      <c r="H31" s="4">
        <v>1</v>
      </c>
      <c r="J31" s="1">
        <f>SUM(B31:H31)/21</f>
        <v>0.7142857142857143</v>
      </c>
    </row>
    <row r="32" spans="1:11" ht="13.9" customHeight="1" x14ac:dyDescent="0.35">
      <c r="A32" t="s">
        <v>12</v>
      </c>
      <c r="B32" s="4">
        <v>1</v>
      </c>
      <c r="C32" s="4">
        <v>1</v>
      </c>
      <c r="D32" s="4">
        <v>1</v>
      </c>
      <c r="F32" s="4">
        <v>0</v>
      </c>
      <c r="J32" s="1">
        <f>SUM(B32:H32)/12</f>
        <v>0.25</v>
      </c>
    </row>
    <row r="33" spans="1:11" ht="13.9" customHeight="1" x14ac:dyDescent="0.35">
      <c r="A33" t="s">
        <v>13</v>
      </c>
      <c r="B33" s="6">
        <v>3</v>
      </c>
      <c r="C33" s="6">
        <v>0</v>
      </c>
      <c r="D33" s="6">
        <v>0</v>
      </c>
      <c r="F33" s="6">
        <v>0</v>
      </c>
      <c r="J33" s="1">
        <f>SUM(B33:H33)/12</f>
        <v>0.25</v>
      </c>
    </row>
    <row r="34" spans="1:11" ht="13.9" customHeight="1" x14ac:dyDescent="0.35">
      <c r="A34" t="s">
        <v>14</v>
      </c>
      <c r="B34" s="6">
        <v>3</v>
      </c>
      <c r="C34" s="6">
        <v>3</v>
      </c>
      <c r="D34" s="6">
        <v>3</v>
      </c>
      <c r="F34" s="6">
        <v>2</v>
      </c>
      <c r="J34" s="1">
        <f>SUM(B34:H34)/12</f>
        <v>0.91666666666666663</v>
      </c>
    </row>
    <row r="35" spans="1:11" ht="13.9" customHeight="1" x14ac:dyDescent="0.35">
      <c r="A35" t="s">
        <v>15</v>
      </c>
      <c r="B35" s="6">
        <v>1</v>
      </c>
      <c r="C35" s="6">
        <v>3</v>
      </c>
      <c r="D35" s="6">
        <v>0</v>
      </c>
      <c r="F35" s="6">
        <v>0</v>
      </c>
      <c r="J35" s="1">
        <f>SUM(B35:H35)/12</f>
        <v>0.33333333333333331</v>
      </c>
    </row>
    <row r="37" spans="1:11" ht="13.9" customHeight="1" x14ac:dyDescent="0.35">
      <c r="A37" s="1"/>
      <c r="B37" s="1">
        <f>SUM(B30:B35)/18</f>
        <v>0.77777777777777779</v>
      </c>
      <c r="C37" s="1">
        <f>SUM(C30:C35)/18</f>
        <v>0.61111111111111116</v>
      </c>
      <c r="D37" s="1">
        <f>SUM(D30:D35)/18</f>
        <v>0.3888888888888889</v>
      </c>
      <c r="E37" s="1">
        <f>SUM(E30:E35)/3</f>
        <v>0.66666666666666663</v>
      </c>
      <c r="F37" s="1">
        <f>SUM(F30:F35)/18</f>
        <v>0.33333333333333331</v>
      </c>
      <c r="G37" s="1">
        <f>SUM(G30:G35)/3</f>
        <v>0.33333333333333331</v>
      </c>
      <c r="H37" s="1">
        <f>SUM(H30:H35)/3</f>
        <v>0.33333333333333331</v>
      </c>
      <c r="I37" s="1"/>
      <c r="K37" s="1"/>
    </row>
    <row r="40" spans="1:11" ht="13.9" customHeight="1" x14ac:dyDescent="0.35">
      <c r="A40" t="s">
        <v>19</v>
      </c>
    </row>
    <row r="42" spans="1:11" ht="13.9" customHeight="1" x14ac:dyDescent="0.35">
      <c r="B42" t="s">
        <v>3</v>
      </c>
      <c r="C42" t="s">
        <v>4</v>
      </c>
      <c r="D42" t="s">
        <v>5</v>
      </c>
      <c r="E42" t="s">
        <v>6</v>
      </c>
      <c r="F42" t="s">
        <v>7</v>
      </c>
      <c r="G42" t="s">
        <v>8</v>
      </c>
      <c r="H42" t="s">
        <v>9</v>
      </c>
    </row>
    <row r="43" spans="1:11" ht="13.9" customHeight="1" x14ac:dyDescent="0.35">
      <c r="A43" t="s">
        <v>10</v>
      </c>
      <c r="B43" s="7">
        <v>2</v>
      </c>
      <c r="C43" s="7">
        <v>1</v>
      </c>
      <c r="D43" s="7">
        <v>1</v>
      </c>
      <c r="F43" s="7">
        <v>1</v>
      </c>
      <c r="J43" s="1">
        <f>SUM(B43:H43)/8</f>
        <v>0.625</v>
      </c>
    </row>
    <row r="44" spans="1:11" ht="13.9" customHeight="1" x14ac:dyDescent="0.35">
      <c r="A44" t="s">
        <v>11</v>
      </c>
      <c r="B44" s="7">
        <v>0</v>
      </c>
      <c r="C44" s="7">
        <v>1</v>
      </c>
      <c r="D44" s="7">
        <v>1</v>
      </c>
      <c r="E44" s="7">
        <v>1</v>
      </c>
      <c r="F44" s="7">
        <v>1</v>
      </c>
      <c r="G44" s="7">
        <v>2</v>
      </c>
      <c r="H44" s="7">
        <v>1</v>
      </c>
      <c r="J44" s="1">
        <f>SUM(B44:H44)/14</f>
        <v>0.5</v>
      </c>
    </row>
    <row r="45" spans="1:11" ht="13.9" customHeight="1" x14ac:dyDescent="0.35">
      <c r="A45" t="s">
        <v>12</v>
      </c>
      <c r="B45" s="7">
        <v>1</v>
      </c>
      <c r="C45" s="7">
        <v>0</v>
      </c>
      <c r="D45" s="7">
        <v>0</v>
      </c>
      <c r="F45" s="7">
        <v>0</v>
      </c>
      <c r="J45" s="1">
        <f>SUM(B45:H45)/8</f>
        <v>0.125</v>
      </c>
    </row>
    <row r="46" spans="1:11" ht="13.9" customHeight="1" x14ac:dyDescent="0.35">
      <c r="A46" t="s">
        <v>13</v>
      </c>
      <c r="B46" s="6">
        <v>1</v>
      </c>
      <c r="C46" s="6">
        <v>1</v>
      </c>
      <c r="D46" s="6">
        <v>0</v>
      </c>
      <c r="F46" s="6">
        <v>0</v>
      </c>
      <c r="J46" s="1">
        <f>SUM(B46:H46)/8</f>
        <v>0.25</v>
      </c>
    </row>
    <row r="47" spans="1:11" ht="13.9" customHeight="1" x14ac:dyDescent="0.35">
      <c r="A47" t="s">
        <v>14</v>
      </c>
      <c r="B47" s="6">
        <v>1</v>
      </c>
      <c r="C47" s="6">
        <v>1</v>
      </c>
      <c r="D47" s="6">
        <v>1</v>
      </c>
      <c r="F47" s="6">
        <v>1</v>
      </c>
      <c r="J47" s="1">
        <f>SUM(B47:H47)/8</f>
        <v>0.5</v>
      </c>
    </row>
    <row r="48" spans="1:11" ht="13.9" customHeight="1" x14ac:dyDescent="0.35">
      <c r="A48" t="s">
        <v>15</v>
      </c>
      <c r="B48" s="6">
        <v>1</v>
      </c>
      <c r="C48" s="6">
        <v>0</v>
      </c>
      <c r="D48" s="6">
        <v>0</v>
      </c>
      <c r="F48" s="6">
        <v>0</v>
      </c>
      <c r="J48" s="1">
        <f>SUM(B48:H48)/8</f>
        <v>0.125</v>
      </c>
    </row>
    <row r="49" spans="1:11" ht="14.5" x14ac:dyDescent="0.35"/>
    <row r="50" spans="1:11" ht="14.5" x14ac:dyDescent="0.35">
      <c r="A50" s="1"/>
      <c r="B50" s="1">
        <f>SUM(B43:B48)/12</f>
        <v>0.5</v>
      </c>
      <c r="C50" s="1">
        <f>SUM(C43:C48)/12</f>
        <v>0.33333333333333331</v>
      </c>
      <c r="D50" s="1">
        <f>SUM(D43:D48)/12</f>
        <v>0.25</v>
      </c>
      <c r="E50" s="1">
        <f>SUM(E43:E48)/2</f>
        <v>0.5</v>
      </c>
      <c r="F50" s="1">
        <f>SUM(F43:F48)/12</f>
        <v>0.25</v>
      </c>
      <c r="G50" s="1">
        <f>SUM(G43:G48)/2</f>
        <v>1</v>
      </c>
      <c r="H50" s="1">
        <f>SUM(H43:H48)/2</f>
        <v>0.5</v>
      </c>
      <c r="I50" s="1"/>
      <c r="K50" s="1"/>
    </row>
    <row r="51" spans="1:11" ht="14.5" x14ac:dyDescent="0.35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topLeftCell="A4" zoomScaleNormal="100" workbookViewId="0">
      <selection activeCell="H61" sqref="H61"/>
    </sheetView>
  </sheetViews>
  <sheetFormatPr baseColWidth="10" defaultColWidth="11.54296875" defaultRowHeight="13.9" customHeight="1" x14ac:dyDescent="0.35"/>
  <cols>
    <col min="1" max="9" width="10.453125" customWidth="1"/>
  </cols>
  <sheetData>
    <row r="1" spans="1:12" ht="13.9" customHeight="1" x14ac:dyDescent="0.35">
      <c r="A1" t="s">
        <v>0</v>
      </c>
      <c r="G1">
        <v>6</v>
      </c>
    </row>
    <row r="2" spans="1:12" ht="13.9" customHeight="1" x14ac:dyDescent="0.35">
      <c r="B2" t="s">
        <v>3</v>
      </c>
      <c r="D2" t="s">
        <v>4</v>
      </c>
      <c r="F2" t="s">
        <v>23</v>
      </c>
      <c r="H2" t="s">
        <v>24</v>
      </c>
    </row>
    <row r="3" spans="1:12" ht="13.9" customHeight="1" x14ac:dyDescent="0.35">
      <c r="K3" t="s">
        <v>38</v>
      </c>
      <c r="L3" t="s">
        <v>39</v>
      </c>
    </row>
    <row r="4" spans="1:12" ht="13.9" customHeight="1" x14ac:dyDescent="0.35">
      <c r="A4" t="s">
        <v>10</v>
      </c>
      <c r="B4" s="4">
        <v>2</v>
      </c>
      <c r="C4" s="4">
        <v>1</v>
      </c>
      <c r="D4" s="4">
        <v>3</v>
      </c>
      <c r="E4" s="4">
        <v>2</v>
      </c>
      <c r="F4" s="4">
        <v>8</v>
      </c>
      <c r="G4" s="4">
        <v>7</v>
      </c>
      <c r="H4" s="4">
        <v>12</v>
      </c>
      <c r="I4" s="4">
        <v>11</v>
      </c>
      <c r="K4">
        <f>B4+D4+F4+H4</f>
        <v>25</v>
      </c>
      <c r="L4">
        <f>C4+E4+G4+I4</f>
        <v>21</v>
      </c>
    </row>
    <row r="5" spans="1:12" ht="13.9" customHeight="1" x14ac:dyDescent="0.35">
      <c r="A5" t="s">
        <v>11</v>
      </c>
      <c r="B5" s="4">
        <v>5</v>
      </c>
      <c r="C5" s="4">
        <v>4</v>
      </c>
      <c r="D5" s="4">
        <v>7</v>
      </c>
      <c r="E5" s="4">
        <v>6</v>
      </c>
      <c r="F5" s="4">
        <v>14</v>
      </c>
      <c r="G5" s="4">
        <v>9</v>
      </c>
      <c r="H5" s="4">
        <v>14</v>
      </c>
      <c r="I5" s="4">
        <v>10</v>
      </c>
      <c r="K5">
        <f t="shared" ref="K5:K9" si="0">B5+D5+F5+H5</f>
        <v>40</v>
      </c>
      <c r="L5">
        <f t="shared" ref="L5:L9" si="1">C5+E5+G5+I5</f>
        <v>29</v>
      </c>
    </row>
    <row r="6" spans="1:12" ht="13.9" customHeight="1" x14ac:dyDescent="0.35">
      <c r="A6" t="s">
        <v>12</v>
      </c>
      <c r="B6" s="4">
        <v>6</v>
      </c>
      <c r="C6" s="4">
        <v>0</v>
      </c>
      <c r="D6" s="4">
        <v>9</v>
      </c>
      <c r="E6" s="4">
        <v>3</v>
      </c>
      <c r="F6" s="4">
        <v>14</v>
      </c>
      <c r="G6" s="4">
        <v>7</v>
      </c>
      <c r="H6" s="4">
        <v>28</v>
      </c>
      <c r="I6" s="4">
        <v>15</v>
      </c>
      <c r="K6">
        <f t="shared" si="0"/>
        <v>57</v>
      </c>
      <c r="L6">
        <f t="shared" si="1"/>
        <v>25</v>
      </c>
    </row>
    <row r="7" spans="1:12" ht="13.9" customHeight="1" x14ac:dyDescent="0.35">
      <c r="A7" t="s">
        <v>13</v>
      </c>
      <c r="B7" s="6">
        <v>2</v>
      </c>
      <c r="C7" s="6">
        <v>1</v>
      </c>
      <c r="D7" s="6">
        <v>4</v>
      </c>
      <c r="E7" s="6">
        <v>3</v>
      </c>
      <c r="F7" s="6">
        <v>9</v>
      </c>
      <c r="G7" s="6">
        <v>6</v>
      </c>
      <c r="H7" s="6">
        <v>13</v>
      </c>
      <c r="I7" s="6">
        <v>12</v>
      </c>
      <c r="K7">
        <f t="shared" si="0"/>
        <v>28</v>
      </c>
      <c r="L7">
        <f t="shared" si="1"/>
        <v>22</v>
      </c>
    </row>
    <row r="8" spans="1:12" ht="13.9" customHeight="1" x14ac:dyDescent="0.35">
      <c r="A8" t="s">
        <v>14</v>
      </c>
      <c r="B8" s="6">
        <v>4</v>
      </c>
      <c r="C8" s="6">
        <v>2</v>
      </c>
      <c r="D8" s="6">
        <v>7</v>
      </c>
      <c r="E8" s="6">
        <v>4</v>
      </c>
      <c r="F8" s="6">
        <v>11</v>
      </c>
      <c r="G8" s="6">
        <v>7</v>
      </c>
      <c r="H8" s="6">
        <v>14</v>
      </c>
      <c r="I8" s="6">
        <v>10</v>
      </c>
      <c r="K8">
        <f t="shared" si="0"/>
        <v>36</v>
      </c>
      <c r="L8">
        <f t="shared" si="1"/>
        <v>23</v>
      </c>
    </row>
    <row r="9" spans="1:12" ht="13.9" customHeight="1" x14ac:dyDescent="0.35">
      <c r="A9" t="s">
        <v>15</v>
      </c>
      <c r="B9" s="6">
        <v>2</v>
      </c>
      <c r="C9" s="6">
        <v>1</v>
      </c>
      <c r="D9" s="6">
        <v>5</v>
      </c>
      <c r="E9" s="6">
        <v>4</v>
      </c>
      <c r="F9" s="6">
        <v>0</v>
      </c>
      <c r="G9" s="6">
        <v>0</v>
      </c>
      <c r="H9" s="6"/>
      <c r="I9" s="6"/>
      <c r="K9">
        <f t="shared" si="0"/>
        <v>7</v>
      </c>
      <c r="L9">
        <f t="shared" si="1"/>
        <v>5</v>
      </c>
    </row>
    <row r="11" spans="1:12" ht="13.9" customHeight="1" x14ac:dyDescent="0.35">
      <c r="B11">
        <f>SUM(B4:B9)/22</f>
        <v>0.95454545454545459</v>
      </c>
      <c r="C11">
        <f>SUM(C4:C9)/10</f>
        <v>0.9</v>
      </c>
      <c r="D11">
        <f>SUM(D4:D9)/36</f>
        <v>0.97222222222222221</v>
      </c>
      <c r="E11">
        <f>SUM(E4:E9)/24</f>
        <v>0.91666666666666663</v>
      </c>
      <c r="F11">
        <f>SUM(F4:F9)/69</f>
        <v>0.81159420289855078</v>
      </c>
      <c r="G11">
        <f>SUM(G4:G9)/51</f>
        <v>0.70588235294117652</v>
      </c>
      <c r="H11">
        <f>SUM(H4:H9)/109</f>
        <v>0.74311926605504586</v>
      </c>
      <c r="I11">
        <f>SUM(I4:I9)/85</f>
        <v>0.68235294117647061</v>
      </c>
    </row>
    <row r="14" spans="1:12" ht="13.9" customHeight="1" x14ac:dyDescent="0.35">
      <c r="A14" t="s">
        <v>25</v>
      </c>
    </row>
    <row r="16" spans="1:12" ht="13.9" customHeight="1" x14ac:dyDescent="0.35">
      <c r="B16" t="s">
        <v>3</v>
      </c>
      <c r="D16" t="s">
        <v>4</v>
      </c>
      <c r="F16" t="s">
        <v>23</v>
      </c>
      <c r="H16" t="s">
        <v>24</v>
      </c>
      <c r="K16" t="s">
        <v>38</v>
      </c>
      <c r="L16" t="s">
        <v>39</v>
      </c>
    </row>
    <row r="17" spans="1:12" ht="13.9" customHeight="1" x14ac:dyDescent="0.35">
      <c r="A17" t="s">
        <v>10</v>
      </c>
      <c r="B17" s="7">
        <v>2</v>
      </c>
      <c r="C17" s="7">
        <v>1</v>
      </c>
      <c r="D17" s="7">
        <v>3</v>
      </c>
      <c r="E17" s="7">
        <v>2</v>
      </c>
      <c r="F17" s="7">
        <v>8</v>
      </c>
      <c r="G17" s="7">
        <v>6</v>
      </c>
      <c r="H17" s="7">
        <v>12</v>
      </c>
      <c r="I17" s="7">
        <v>8</v>
      </c>
      <c r="K17">
        <f>B17+D17+F17+H17</f>
        <v>25</v>
      </c>
      <c r="L17">
        <f>C17+E17+G17+I17</f>
        <v>17</v>
      </c>
    </row>
    <row r="18" spans="1:12" ht="13.9" customHeight="1" x14ac:dyDescent="0.35">
      <c r="A18" t="s">
        <v>11</v>
      </c>
      <c r="B18" s="7">
        <v>5</v>
      </c>
      <c r="C18" s="7">
        <v>4</v>
      </c>
      <c r="D18" s="7">
        <v>7</v>
      </c>
      <c r="E18" s="7">
        <v>6</v>
      </c>
      <c r="F18" s="7">
        <v>14</v>
      </c>
      <c r="G18" s="7">
        <v>9</v>
      </c>
      <c r="H18" s="7">
        <v>28</v>
      </c>
      <c r="I18" s="7">
        <v>21</v>
      </c>
      <c r="K18">
        <f t="shared" ref="K18:K22" si="2">B18+D18+F18+H18</f>
        <v>54</v>
      </c>
      <c r="L18">
        <f t="shared" ref="L18:L22" si="3">C18+E18+G18+I18</f>
        <v>40</v>
      </c>
    </row>
    <row r="19" spans="1:12" ht="13.9" customHeight="1" x14ac:dyDescent="0.35">
      <c r="A19" t="s">
        <v>12</v>
      </c>
      <c r="B19" s="7">
        <v>6</v>
      </c>
      <c r="C19" s="7">
        <v>0</v>
      </c>
      <c r="D19" s="7">
        <v>9</v>
      </c>
      <c r="E19" s="7">
        <v>3</v>
      </c>
      <c r="F19" s="7">
        <v>17</v>
      </c>
      <c r="G19" s="7">
        <v>7</v>
      </c>
      <c r="H19" s="7">
        <v>28</v>
      </c>
      <c r="I19" s="7">
        <v>16</v>
      </c>
      <c r="K19">
        <f t="shared" si="2"/>
        <v>60</v>
      </c>
      <c r="L19">
        <f t="shared" si="3"/>
        <v>26</v>
      </c>
    </row>
    <row r="20" spans="1:12" ht="13.9" customHeight="1" x14ac:dyDescent="0.35">
      <c r="A20" t="s">
        <v>13</v>
      </c>
      <c r="B20" s="6">
        <v>2</v>
      </c>
      <c r="C20" s="6">
        <v>1</v>
      </c>
      <c r="D20" s="6">
        <v>4</v>
      </c>
      <c r="E20" s="6">
        <v>3</v>
      </c>
      <c r="F20" s="6">
        <v>9</v>
      </c>
      <c r="G20" s="6">
        <v>8</v>
      </c>
      <c r="H20" s="6">
        <v>0</v>
      </c>
      <c r="I20" s="6">
        <v>0</v>
      </c>
      <c r="K20">
        <f t="shared" si="2"/>
        <v>15</v>
      </c>
      <c r="L20">
        <f t="shared" si="3"/>
        <v>12</v>
      </c>
    </row>
    <row r="21" spans="1:12" ht="13.9" customHeight="1" x14ac:dyDescent="0.35">
      <c r="A21" t="s">
        <v>14</v>
      </c>
      <c r="B21" s="6">
        <v>4</v>
      </c>
      <c r="C21" s="6">
        <v>2</v>
      </c>
      <c r="D21" s="6">
        <v>7</v>
      </c>
      <c r="E21" s="6">
        <v>4</v>
      </c>
      <c r="F21" s="6">
        <v>11</v>
      </c>
      <c r="G21" s="6">
        <v>7</v>
      </c>
      <c r="H21" s="6">
        <v>14</v>
      </c>
      <c r="I21" s="6">
        <v>10</v>
      </c>
      <c r="K21">
        <f t="shared" si="2"/>
        <v>36</v>
      </c>
      <c r="L21">
        <f t="shared" si="3"/>
        <v>23</v>
      </c>
    </row>
    <row r="22" spans="1:12" ht="13.9" customHeight="1" x14ac:dyDescent="0.35">
      <c r="A22" t="s">
        <v>15</v>
      </c>
      <c r="B22" s="6">
        <v>2</v>
      </c>
      <c r="C22" s="6">
        <v>1</v>
      </c>
      <c r="D22" s="6">
        <v>5</v>
      </c>
      <c r="E22" s="6">
        <v>4</v>
      </c>
      <c r="F22" s="6">
        <v>9</v>
      </c>
      <c r="G22" s="6">
        <v>6</v>
      </c>
      <c r="H22" s="6">
        <v>12</v>
      </c>
      <c r="I22" s="6">
        <v>7</v>
      </c>
      <c r="K22">
        <f t="shared" si="2"/>
        <v>28</v>
      </c>
      <c r="L22">
        <f t="shared" si="3"/>
        <v>18</v>
      </c>
    </row>
    <row r="24" spans="1:12" ht="13.9" customHeight="1" x14ac:dyDescent="0.35">
      <c r="B24">
        <f>SUM(B17:B22)/22</f>
        <v>0.95454545454545459</v>
      </c>
      <c r="C24">
        <f>SUM(C17:C22)/10</f>
        <v>0.9</v>
      </c>
      <c r="D24">
        <f>SUM(D17:D22)/36</f>
        <v>0.97222222222222221</v>
      </c>
      <c r="E24">
        <f>SUM(E17:E22)/24</f>
        <v>0.91666666666666663</v>
      </c>
      <c r="F24">
        <f>SUM(F17:F22)/69</f>
        <v>0.98550724637681164</v>
      </c>
      <c r="G24">
        <f>SUM(G17:G22)/51</f>
        <v>0.84313725490196079</v>
      </c>
      <c r="H24">
        <f>SUM(H17:H22)/109</f>
        <v>0.86238532110091748</v>
      </c>
      <c r="I24">
        <f>SUM(I17:I22)/85</f>
        <v>0.72941176470588232</v>
      </c>
    </row>
    <row r="27" spans="1:12" ht="13.9" customHeight="1" x14ac:dyDescent="0.35">
      <c r="A27" t="s">
        <v>17</v>
      </c>
    </row>
    <row r="29" spans="1:12" ht="13.9" customHeight="1" x14ac:dyDescent="0.35">
      <c r="B29" t="s">
        <v>3</v>
      </c>
      <c r="D29" t="s">
        <v>4</v>
      </c>
      <c r="F29" t="s">
        <v>23</v>
      </c>
      <c r="H29" t="s">
        <v>24</v>
      </c>
      <c r="K29" t="s">
        <v>38</v>
      </c>
      <c r="L29" t="s">
        <v>39</v>
      </c>
    </row>
    <row r="30" spans="1:12" ht="13.9" customHeight="1" x14ac:dyDescent="0.35">
      <c r="A30" t="s">
        <v>10</v>
      </c>
      <c r="B30" s="4">
        <v>2</v>
      </c>
      <c r="C30" s="4">
        <v>1</v>
      </c>
      <c r="D30" s="4">
        <v>3</v>
      </c>
      <c r="E30" s="4">
        <v>2</v>
      </c>
      <c r="F30" s="4">
        <v>0</v>
      </c>
      <c r="G30" s="4">
        <v>0</v>
      </c>
      <c r="H30" s="4">
        <v>11</v>
      </c>
      <c r="I30" s="4">
        <v>6</v>
      </c>
      <c r="K30">
        <f>B30+D30+F30+H30</f>
        <v>16</v>
      </c>
      <c r="L30">
        <f>C30+E30+G30+I30</f>
        <v>9</v>
      </c>
    </row>
    <row r="31" spans="1:12" ht="13.9" customHeight="1" x14ac:dyDescent="0.35">
      <c r="A31" t="s">
        <v>11</v>
      </c>
      <c r="B31" s="4">
        <v>5</v>
      </c>
      <c r="C31" s="4">
        <v>4</v>
      </c>
      <c r="D31" s="4">
        <v>7</v>
      </c>
      <c r="E31" s="4">
        <v>6</v>
      </c>
      <c r="F31" s="4">
        <v>14</v>
      </c>
      <c r="G31" s="4">
        <v>11</v>
      </c>
      <c r="H31" s="4">
        <v>28</v>
      </c>
      <c r="I31" s="4">
        <v>23</v>
      </c>
      <c r="K31">
        <f t="shared" ref="K31:K35" si="4">B31+D31+F31+H31</f>
        <v>54</v>
      </c>
      <c r="L31">
        <f t="shared" ref="L31:L35" si="5">C31+E31+G31+I31</f>
        <v>44</v>
      </c>
    </row>
    <row r="32" spans="1:12" ht="13.9" customHeight="1" x14ac:dyDescent="0.35">
      <c r="A32" t="s">
        <v>12</v>
      </c>
      <c r="B32" s="4">
        <v>6</v>
      </c>
      <c r="C32" s="4">
        <v>0</v>
      </c>
      <c r="D32" s="4">
        <v>9</v>
      </c>
      <c r="E32" s="4">
        <v>3</v>
      </c>
      <c r="F32" s="4">
        <v>16</v>
      </c>
      <c r="G32" s="4">
        <v>7</v>
      </c>
      <c r="H32" s="4">
        <v>0</v>
      </c>
      <c r="I32" s="4">
        <v>0</v>
      </c>
      <c r="K32">
        <f t="shared" si="4"/>
        <v>31</v>
      </c>
      <c r="L32">
        <f t="shared" si="5"/>
        <v>10</v>
      </c>
    </row>
    <row r="33" spans="1:12" ht="13.9" customHeight="1" x14ac:dyDescent="0.35">
      <c r="A33" t="s">
        <v>13</v>
      </c>
      <c r="B33" s="6">
        <v>2</v>
      </c>
      <c r="C33" s="6">
        <v>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K33">
        <f t="shared" si="4"/>
        <v>2</v>
      </c>
      <c r="L33">
        <f t="shared" si="5"/>
        <v>1</v>
      </c>
    </row>
    <row r="34" spans="1:12" ht="13.9" customHeight="1" x14ac:dyDescent="0.35">
      <c r="A34" t="s">
        <v>14</v>
      </c>
      <c r="B34" s="6">
        <v>4</v>
      </c>
      <c r="C34" s="6">
        <v>2</v>
      </c>
      <c r="D34" s="6">
        <v>7</v>
      </c>
      <c r="E34" s="6">
        <v>4</v>
      </c>
      <c r="F34" s="6">
        <v>8</v>
      </c>
      <c r="G34" s="6">
        <v>7</v>
      </c>
      <c r="H34" s="6">
        <v>11</v>
      </c>
      <c r="I34" s="6">
        <v>10</v>
      </c>
      <c r="K34">
        <f t="shared" si="4"/>
        <v>30</v>
      </c>
      <c r="L34">
        <f t="shared" si="5"/>
        <v>23</v>
      </c>
    </row>
    <row r="35" spans="1:12" ht="13.9" customHeight="1" x14ac:dyDescent="0.35">
      <c r="A35" t="s">
        <v>15</v>
      </c>
      <c r="B35" s="6">
        <v>2</v>
      </c>
      <c r="C35" s="6">
        <v>1</v>
      </c>
      <c r="D35" s="6">
        <v>5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K35">
        <f t="shared" si="4"/>
        <v>7</v>
      </c>
      <c r="L35">
        <f t="shared" si="5"/>
        <v>4</v>
      </c>
    </row>
    <row r="37" spans="1:12" ht="13.9" customHeight="1" x14ac:dyDescent="0.35">
      <c r="B37">
        <f>SUM(B30:B35)/22</f>
        <v>0.95454545454545459</v>
      </c>
      <c r="C37">
        <f>SUM(C30:C35)/10</f>
        <v>0.9</v>
      </c>
      <c r="D37">
        <f>SUM(D30:D35)/36</f>
        <v>0.86111111111111116</v>
      </c>
      <c r="E37">
        <f>SUM(E30:E35)/24</f>
        <v>0.75</v>
      </c>
      <c r="F37">
        <f>SUM(F30:F35)/69</f>
        <v>0.55072463768115942</v>
      </c>
      <c r="G37">
        <f>SUM(G30:G35)/51</f>
        <v>0.49019607843137253</v>
      </c>
      <c r="H37">
        <f>SUM(H30:H35)/109</f>
        <v>0.45871559633027525</v>
      </c>
      <c r="I37">
        <f>SUM(I30:I35)/85</f>
        <v>0.45882352941176469</v>
      </c>
    </row>
    <row r="40" spans="1:12" ht="13.9" customHeight="1" x14ac:dyDescent="0.35">
      <c r="A40" t="s">
        <v>19</v>
      </c>
    </row>
    <row r="42" spans="1:12" ht="13.9" customHeight="1" x14ac:dyDescent="0.35">
      <c r="B42" t="s">
        <v>3</v>
      </c>
      <c r="D42" t="s">
        <v>4</v>
      </c>
      <c r="F42" t="s">
        <v>23</v>
      </c>
      <c r="H42" t="s">
        <v>24</v>
      </c>
      <c r="K42" t="s">
        <v>38</v>
      </c>
      <c r="L42" t="s">
        <v>39</v>
      </c>
    </row>
    <row r="43" spans="1:12" ht="13.9" customHeight="1" x14ac:dyDescent="0.35">
      <c r="A43" t="s">
        <v>10</v>
      </c>
      <c r="B43" s="7">
        <v>2</v>
      </c>
      <c r="C43" s="7">
        <v>1</v>
      </c>
      <c r="D43" s="7">
        <v>3</v>
      </c>
      <c r="E43" s="7">
        <v>2</v>
      </c>
      <c r="F43" s="7">
        <v>8</v>
      </c>
      <c r="G43" s="7">
        <v>6</v>
      </c>
      <c r="H43" s="7">
        <v>12</v>
      </c>
      <c r="I43" s="7">
        <v>8</v>
      </c>
      <c r="K43">
        <f>B43+D43+F43+H43</f>
        <v>25</v>
      </c>
      <c r="L43">
        <f>C43+E43+G43+I43</f>
        <v>17</v>
      </c>
    </row>
    <row r="44" spans="1:12" ht="13.9" customHeight="1" x14ac:dyDescent="0.35">
      <c r="A44" t="s">
        <v>11</v>
      </c>
      <c r="B44" s="7">
        <v>0</v>
      </c>
      <c r="C44" s="7">
        <v>0</v>
      </c>
      <c r="D44" s="7">
        <v>7</v>
      </c>
      <c r="E44" s="7">
        <v>6</v>
      </c>
      <c r="F44" s="7">
        <v>14</v>
      </c>
      <c r="G44" s="7">
        <v>10</v>
      </c>
      <c r="H44" s="7">
        <v>25</v>
      </c>
      <c r="I44" s="7">
        <v>21</v>
      </c>
      <c r="K44">
        <f t="shared" ref="K44:K48" si="6">B44+D44+F44+H44</f>
        <v>46</v>
      </c>
      <c r="L44">
        <f t="shared" ref="L44:L48" si="7">C44+E44+G44+I44</f>
        <v>37</v>
      </c>
    </row>
    <row r="45" spans="1:12" ht="13.9" customHeight="1" x14ac:dyDescent="0.35">
      <c r="A45" t="s">
        <v>12</v>
      </c>
      <c r="B45" s="7">
        <v>6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K45">
        <f t="shared" si="6"/>
        <v>6</v>
      </c>
      <c r="L45">
        <f t="shared" si="7"/>
        <v>0</v>
      </c>
    </row>
    <row r="46" spans="1:12" ht="13.9" customHeight="1" x14ac:dyDescent="0.35">
      <c r="A46" t="s">
        <v>13</v>
      </c>
      <c r="B46" s="6">
        <v>2</v>
      </c>
      <c r="C46" s="6">
        <v>1</v>
      </c>
      <c r="D46" s="6">
        <v>4</v>
      </c>
      <c r="E46" s="6">
        <v>3</v>
      </c>
      <c r="F46" s="6">
        <v>0</v>
      </c>
      <c r="G46" s="6">
        <v>0</v>
      </c>
      <c r="H46" s="6">
        <v>0</v>
      </c>
      <c r="I46" s="6">
        <v>0</v>
      </c>
      <c r="K46">
        <f t="shared" si="6"/>
        <v>6</v>
      </c>
      <c r="L46">
        <f t="shared" si="7"/>
        <v>4</v>
      </c>
    </row>
    <row r="47" spans="1:12" ht="13.9" customHeight="1" x14ac:dyDescent="0.35">
      <c r="A47" t="s">
        <v>14</v>
      </c>
      <c r="B47" s="6">
        <v>4</v>
      </c>
      <c r="C47" s="6">
        <v>2</v>
      </c>
      <c r="D47" s="6">
        <v>7</v>
      </c>
      <c r="E47" s="6">
        <v>4</v>
      </c>
      <c r="F47" s="6">
        <v>10</v>
      </c>
      <c r="G47" s="6">
        <v>7</v>
      </c>
      <c r="H47" s="6">
        <v>14</v>
      </c>
      <c r="I47" s="6">
        <v>10</v>
      </c>
      <c r="K47">
        <f t="shared" si="6"/>
        <v>35</v>
      </c>
      <c r="L47">
        <f t="shared" si="7"/>
        <v>23</v>
      </c>
    </row>
    <row r="48" spans="1:12" ht="13.9" customHeight="1" x14ac:dyDescent="0.35">
      <c r="A48" t="s">
        <v>15</v>
      </c>
      <c r="B48" s="6">
        <v>2</v>
      </c>
      <c r="C48" s="6">
        <v>1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K48">
        <f t="shared" si="6"/>
        <v>2</v>
      </c>
      <c r="L48">
        <f t="shared" si="7"/>
        <v>1</v>
      </c>
    </row>
    <row r="50" spans="2:9" ht="14.5" x14ac:dyDescent="0.35">
      <c r="B50">
        <f>SUM(B43:B48)/22</f>
        <v>0.72727272727272729</v>
      </c>
      <c r="C50">
        <f>SUM(C43:C48)/10</f>
        <v>0.5</v>
      </c>
      <c r="D50">
        <f>SUM(D43:D48)/36</f>
        <v>0.58333333333333337</v>
      </c>
      <c r="E50">
        <f>SUM(E43:E48)/24</f>
        <v>0.625</v>
      </c>
      <c r="F50">
        <f>SUM(F43:F48)/69</f>
        <v>0.46376811594202899</v>
      </c>
      <c r="G50">
        <f>SUM(G43:G48)/51</f>
        <v>0.45098039215686275</v>
      </c>
      <c r="H50">
        <f>SUM(H43:H48)/109</f>
        <v>0.46788990825688076</v>
      </c>
      <c r="I50">
        <f>SUM(I43:I48)/85</f>
        <v>0.45882352941176469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0"/>
  <sheetViews>
    <sheetView zoomScaleNormal="100" workbookViewId="0">
      <selection activeCell="R21" sqref="R21"/>
    </sheetView>
  </sheetViews>
  <sheetFormatPr baseColWidth="10" defaultColWidth="11.54296875" defaultRowHeight="13.9" customHeight="1" x14ac:dyDescent="0.35"/>
  <cols>
    <col min="1" max="9" width="10.453125" customWidth="1"/>
  </cols>
  <sheetData>
    <row r="1" spans="1:12" ht="13.9" customHeight="1" x14ac:dyDescent="0.35">
      <c r="A1" t="s">
        <v>0</v>
      </c>
    </row>
    <row r="2" spans="1:12" ht="13.9" customHeight="1" x14ac:dyDescent="0.35">
      <c r="B2" t="s">
        <v>3</v>
      </c>
      <c r="D2" t="s">
        <v>4</v>
      </c>
      <c r="F2" t="s">
        <v>23</v>
      </c>
      <c r="H2" t="s">
        <v>24</v>
      </c>
    </row>
    <row r="3" spans="1:12" ht="13.9" customHeight="1" x14ac:dyDescent="0.35">
      <c r="K3" t="s">
        <v>38</v>
      </c>
      <c r="L3" t="s">
        <v>39</v>
      </c>
    </row>
    <row r="4" spans="1:12" ht="13.9" customHeight="1" x14ac:dyDescent="0.35">
      <c r="A4" t="s">
        <v>10</v>
      </c>
      <c r="B4" s="4">
        <v>2</v>
      </c>
      <c r="C4" s="4">
        <v>1</v>
      </c>
      <c r="D4" s="4">
        <v>3</v>
      </c>
      <c r="E4" s="4">
        <v>2</v>
      </c>
      <c r="F4" s="4">
        <v>8</v>
      </c>
      <c r="G4" s="4">
        <v>7</v>
      </c>
      <c r="H4" s="4">
        <v>12</v>
      </c>
      <c r="I4" s="4">
        <v>11</v>
      </c>
      <c r="K4">
        <f>B4+D4+F4+H4</f>
        <v>25</v>
      </c>
      <c r="L4">
        <f>C4+E4+G4+I4</f>
        <v>21</v>
      </c>
    </row>
    <row r="5" spans="1:12" ht="13.9" customHeight="1" x14ac:dyDescent="0.35">
      <c r="A5" t="s">
        <v>11</v>
      </c>
      <c r="B5" s="4">
        <v>5</v>
      </c>
      <c r="C5" s="4">
        <v>4</v>
      </c>
      <c r="D5" s="4">
        <v>7</v>
      </c>
      <c r="E5" s="4">
        <v>6</v>
      </c>
      <c r="F5" s="4">
        <v>14</v>
      </c>
      <c r="G5" s="4">
        <v>9</v>
      </c>
      <c r="H5" s="4">
        <v>14</v>
      </c>
      <c r="I5" s="4">
        <v>10</v>
      </c>
      <c r="K5">
        <f t="shared" ref="K5:L9" si="0">B5+D5+F5+H5</f>
        <v>40</v>
      </c>
      <c r="L5">
        <f t="shared" si="0"/>
        <v>29</v>
      </c>
    </row>
    <row r="6" spans="1:12" ht="13.9" customHeight="1" x14ac:dyDescent="0.35">
      <c r="A6" t="s">
        <v>12</v>
      </c>
      <c r="B6" s="4">
        <v>6</v>
      </c>
      <c r="C6" s="4">
        <v>0</v>
      </c>
      <c r="D6" s="4">
        <v>9</v>
      </c>
      <c r="E6" s="4">
        <v>3</v>
      </c>
      <c r="F6" s="4">
        <v>14</v>
      </c>
      <c r="G6" s="4">
        <v>7</v>
      </c>
      <c r="H6" s="4">
        <v>28</v>
      </c>
      <c r="I6" s="4">
        <v>15</v>
      </c>
      <c r="K6">
        <f t="shared" si="0"/>
        <v>57</v>
      </c>
      <c r="L6">
        <f t="shared" si="0"/>
        <v>25</v>
      </c>
    </row>
    <row r="7" spans="1:12" ht="13.9" customHeight="1" x14ac:dyDescent="0.35">
      <c r="A7" t="s">
        <v>13</v>
      </c>
      <c r="B7" s="6">
        <v>2</v>
      </c>
      <c r="C7" s="6">
        <v>1</v>
      </c>
      <c r="D7" s="6">
        <v>4</v>
      </c>
      <c r="E7" s="6">
        <v>3</v>
      </c>
      <c r="F7" s="6">
        <v>9</v>
      </c>
      <c r="G7" s="6">
        <v>6</v>
      </c>
      <c r="H7" s="6">
        <v>13</v>
      </c>
      <c r="I7" s="6">
        <v>12</v>
      </c>
      <c r="K7">
        <f t="shared" si="0"/>
        <v>28</v>
      </c>
      <c r="L7">
        <f t="shared" si="0"/>
        <v>22</v>
      </c>
    </row>
    <row r="8" spans="1:12" ht="13.9" customHeight="1" x14ac:dyDescent="0.35">
      <c r="A8" t="s">
        <v>14</v>
      </c>
      <c r="B8" s="6">
        <v>4</v>
      </c>
      <c r="C8" s="6">
        <v>2</v>
      </c>
      <c r="D8" s="6">
        <v>7</v>
      </c>
      <c r="E8" s="6">
        <v>4</v>
      </c>
      <c r="F8" s="6">
        <v>11</v>
      </c>
      <c r="G8" s="6">
        <v>7</v>
      </c>
      <c r="H8" s="6">
        <v>14</v>
      </c>
      <c r="I8" s="6">
        <v>10</v>
      </c>
      <c r="K8">
        <f t="shared" si="0"/>
        <v>36</v>
      </c>
      <c r="L8">
        <f t="shared" si="0"/>
        <v>23</v>
      </c>
    </row>
    <row r="9" spans="1:12" ht="13.9" customHeight="1" x14ac:dyDescent="0.35">
      <c r="A9" t="s">
        <v>15</v>
      </c>
      <c r="B9" s="6">
        <v>2</v>
      </c>
      <c r="C9" s="6">
        <v>1</v>
      </c>
      <c r="D9" s="6">
        <v>5</v>
      </c>
      <c r="E9" s="6">
        <v>1</v>
      </c>
      <c r="F9" s="6">
        <v>0</v>
      </c>
      <c r="G9" s="6">
        <v>0</v>
      </c>
      <c r="H9" s="6"/>
      <c r="I9" s="6"/>
      <c r="K9">
        <f t="shared" si="0"/>
        <v>7</v>
      </c>
      <c r="L9">
        <f t="shared" si="0"/>
        <v>2</v>
      </c>
    </row>
    <row r="11" spans="1:12" ht="13.9" customHeight="1" x14ac:dyDescent="0.35">
      <c r="B11">
        <f>SUM(B4:B9)/22</f>
        <v>0.95454545454545459</v>
      </c>
      <c r="C11">
        <f>SUM(C4:C9)/10</f>
        <v>0.9</v>
      </c>
      <c r="D11">
        <f>SUM(D4:D9)/36</f>
        <v>0.97222222222222221</v>
      </c>
      <c r="E11">
        <f>SUM(E4:E9)/24</f>
        <v>0.79166666666666663</v>
      </c>
      <c r="F11">
        <f>SUM(F4:F9)/69</f>
        <v>0.81159420289855078</v>
      </c>
      <c r="G11">
        <f>SUM(G4:G9)/51</f>
        <v>0.70588235294117652</v>
      </c>
      <c r="H11">
        <f>SUM(H4:H9)/109</f>
        <v>0.74311926605504586</v>
      </c>
      <c r="I11">
        <f>SUM(I4:I9)/85</f>
        <v>0.68235294117647061</v>
      </c>
    </row>
    <row r="14" spans="1:12" ht="13.9" customHeight="1" x14ac:dyDescent="0.35">
      <c r="A14" t="s">
        <v>25</v>
      </c>
    </row>
    <row r="16" spans="1:12" ht="13.9" customHeight="1" x14ac:dyDescent="0.35">
      <c r="B16" t="s">
        <v>3</v>
      </c>
      <c r="D16" t="s">
        <v>4</v>
      </c>
      <c r="F16" t="s">
        <v>23</v>
      </c>
      <c r="H16" t="s">
        <v>24</v>
      </c>
      <c r="K16" t="s">
        <v>38</v>
      </c>
      <c r="L16" t="s">
        <v>39</v>
      </c>
    </row>
    <row r="17" spans="1:12" ht="13.9" customHeight="1" x14ac:dyDescent="0.35">
      <c r="A17" t="s">
        <v>10</v>
      </c>
      <c r="B17" s="7">
        <v>2</v>
      </c>
      <c r="C17" s="7">
        <v>1</v>
      </c>
      <c r="D17" s="7">
        <v>3</v>
      </c>
      <c r="E17" s="7">
        <v>2</v>
      </c>
      <c r="F17" s="7">
        <v>8</v>
      </c>
      <c r="G17" s="7">
        <v>6</v>
      </c>
      <c r="H17" s="7">
        <v>12</v>
      </c>
      <c r="I17" s="7">
        <v>8</v>
      </c>
      <c r="K17">
        <f>B17+D17+F17+H17</f>
        <v>25</v>
      </c>
      <c r="L17">
        <f>C17+E17+G17+I17</f>
        <v>17</v>
      </c>
    </row>
    <row r="18" spans="1:12" ht="13.9" customHeight="1" x14ac:dyDescent="0.35">
      <c r="A18" t="s">
        <v>11</v>
      </c>
      <c r="B18" s="4">
        <v>5</v>
      </c>
      <c r="C18" s="4">
        <v>4</v>
      </c>
      <c r="D18" s="7">
        <v>7</v>
      </c>
      <c r="E18" s="7">
        <v>6</v>
      </c>
      <c r="F18" s="7">
        <v>14</v>
      </c>
      <c r="G18" s="7">
        <v>9</v>
      </c>
      <c r="H18" s="7">
        <v>28</v>
      </c>
      <c r="I18" s="7">
        <v>21</v>
      </c>
      <c r="K18">
        <f t="shared" ref="K18:L22" si="1">B18+D18+F18+H18</f>
        <v>54</v>
      </c>
      <c r="L18">
        <f t="shared" si="1"/>
        <v>40</v>
      </c>
    </row>
    <row r="19" spans="1:12" ht="13.9" customHeight="1" x14ac:dyDescent="0.35">
      <c r="A19" t="s">
        <v>12</v>
      </c>
      <c r="B19" s="7">
        <v>6</v>
      </c>
      <c r="C19" s="7">
        <v>0</v>
      </c>
      <c r="D19" s="7">
        <v>9</v>
      </c>
      <c r="E19" s="7">
        <v>3</v>
      </c>
      <c r="F19" s="7">
        <v>17</v>
      </c>
      <c r="G19" s="7">
        <v>7</v>
      </c>
      <c r="H19" s="7">
        <v>27</v>
      </c>
      <c r="I19" s="7">
        <v>16</v>
      </c>
      <c r="K19">
        <f t="shared" si="1"/>
        <v>59</v>
      </c>
      <c r="L19">
        <f t="shared" si="1"/>
        <v>26</v>
      </c>
    </row>
    <row r="20" spans="1:12" ht="13.9" customHeight="1" x14ac:dyDescent="0.35">
      <c r="A20" t="s">
        <v>13</v>
      </c>
      <c r="B20" s="6">
        <v>2</v>
      </c>
      <c r="C20" s="6">
        <v>1</v>
      </c>
      <c r="D20" s="6">
        <v>4</v>
      </c>
      <c r="E20" s="6">
        <v>3</v>
      </c>
      <c r="F20" s="6">
        <v>9</v>
      </c>
      <c r="G20" s="6">
        <v>8</v>
      </c>
      <c r="H20" s="6">
        <v>0</v>
      </c>
      <c r="I20" s="6">
        <v>0</v>
      </c>
      <c r="K20">
        <f t="shared" si="1"/>
        <v>15</v>
      </c>
      <c r="L20">
        <f t="shared" si="1"/>
        <v>12</v>
      </c>
    </row>
    <row r="21" spans="1:12" ht="13.9" customHeight="1" x14ac:dyDescent="0.35">
      <c r="A21" t="s">
        <v>14</v>
      </c>
      <c r="B21" s="6">
        <v>4</v>
      </c>
      <c r="C21" s="6">
        <v>2</v>
      </c>
      <c r="D21" s="6">
        <v>7</v>
      </c>
      <c r="E21" s="6">
        <v>4</v>
      </c>
      <c r="F21" s="6">
        <v>11</v>
      </c>
      <c r="G21" s="6">
        <v>7</v>
      </c>
      <c r="H21" s="6">
        <v>14</v>
      </c>
      <c r="I21" s="6">
        <v>10</v>
      </c>
      <c r="K21">
        <f t="shared" si="1"/>
        <v>36</v>
      </c>
      <c r="L21">
        <f t="shared" si="1"/>
        <v>23</v>
      </c>
    </row>
    <row r="22" spans="1:12" ht="13.9" customHeight="1" x14ac:dyDescent="0.35">
      <c r="A22" t="s">
        <v>15</v>
      </c>
      <c r="B22" s="6">
        <v>2</v>
      </c>
      <c r="C22" s="6">
        <v>1</v>
      </c>
      <c r="D22" s="6">
        <v>5</v>
      </c>
      <c r="E22" s="6">
        <v>1</v>
      </c>
      <c r="F22" s="6">
        <v>9</v>
      </c>
      <c r="G22" s="6">
        <v>1</v>
      </c>
      <c r="H22" s="6">
        <v>12</v>
      </c>
      <c r="I22" s="6">
        <v>1</v>
      </c>
      <c r="K22">
        <f t="shared" si="1"/>
        <v>28</v>
      </c>
      <c r="L22">
        <f t="shared" si="1"/>
        <v>4</v>
      </c>
    </row>
    <row r="24" spans="1:12" ht="13.9" customHeight="1" x14ac:dyDescent="0.35">
      <c r="B24">
        <f>SUM(B17:B22)/22</f>
        <v>0.95454545454545459</v>
      </c>
      <c r="C24">
        <f>SUM(C17:C22)/10</f>
        <v>0.9</v>
      </c>
      <c r="D24">
        <f>SUM(D17:D22)/36</f>
        <v>0.97222222222222221</v>
      </c>
      <c r="E24">
        <f>SUM(E17:E22)/24</f>
        <v>0.79166666666666663</v>
      </c>
      <c r="F24">
        <f>SUM(F17:F22)/69</f>
        <v>0.98550724637681164</v>
      </c>
      <c r="G24">
        <f>SUM(G17:G22)/51</f>
        <v>0.74509803921568629</v>
      </c>
      <c r="H24">
        <f>SUM(H17:H22)/109</f>
        <v>0.85321100917431192</v>
      </c>
      <c r="I24">
        <f>SUM(I17:I22)/85</f>
        <v>0.6588235294117647</v>
      </c>
    </row>
    <row r="27" spans="1:12" ht="13.9" customHeight="1" x14ac:dyDescent="0.35">
      <c r="A27" t="s">
        <v>17</v>
      </c>
    </row>
    <row r="29" spans="1:12" ht="13.9" customHeight="1" x14ac:dyDescent="0.35">
      <c r="B29" t="s">
        <v>3</v>
      </c>
      <c r="D29" t="s">
        <v>4</v>
      </c>
      <c r="F29" t="s">
        <v>23</v>
      </c>
      <c r="H29" t="s">
        <v>24</v>
      </c>
      <c r="K29" t="s">
        <v>38</v>
      </c>
      <c r="L29" t="s">
        <v>39</v>
      </c>
    </row>
    <row r="30" spans="1:12" ht="13.9" customHeight="1" x14ac:dyDescent="0.35">
      <c r="A30" t="s">
        <v>10</v>
      </c>
      <c r="B30" s="4">
        <v>2</v>
      </c>
      <c r="C30" s="4">
        <v>1</v>
      </c>
      <c r="D30" s="4">
        <v>3</v>
      </c>
      <c r="E30" s="4">
        <v>2</v>
      </c>
      <c r="F30" s="4">
        <v>0</v>
      </c>
      <c r="G30" s="4">
        <v>0</v>
      </c>
      <c r="H30" s="4">
        <v>10</v>
      </c>
      <c r="I30" s="4">
        <v>6</v>
      </c>
      <c r="K30">
        <f>B30+D30+F30+H30</f>
        <v>15</v>
      </c>
      <c r="L30">
        <f>C30+E30+G30+I30</f>
        <v>9</v>
      </c>
    </row>
    <row r="31" spans="1:12" ht="13.9" customHeight="1" x14ac:dyDescent="0.35">
      <c r="A31" t="s">
        <v>11</v>
      </c>
      <c r="B31" s="4">
        <v>5</v>
      </c>
      <c r="C31" s="4">
        <v>4</v>
      </c>
      <c r="D31" s="4">
        <v>7</v>
      </c>
      <c r="E31" s="4">
        <v>6</v>
      </c>
      <c r="F31" s="4">
        <v>12</v>
      </c>
      <c r="G31" s="4">
        <v>11</v>
      </c>
      <c r="H31" s="4">
        <v>25</v>
      </c>
      <c r="I31" s="4">
        <v>19</v>
      </c>
      <c r="K31">
        <f t="shared" ref="K31:L35" si="2">B31+D31+F31+H31</f>
        <v>49</v>
      </c>
      <c r="L31">
        <f t="shared" si="2"/>
        <v>40</v>
      </c>
    </row>
    <row r="32" spans="1:12" ht="13.9" customHeight="1" x14ac:dyDescent="0.35">
      <c r="A32" t="s">
        <v>12</v>
      </c>
      <c r="B32" s="4">
        <v>6</v>
      </c>
      <c r="C32" s="4">
        <v>0</v>
      </c>
      <c r="D32" s="4">
        <v>9</v>
      </c>
      <c r="E32" s="4">
        <v>3</v>
      </c>
      <c r="F32" s="4">
        <v>16</v>
      </c>
      <c r="G32" s="4">
        <v>7</v>
      </c>
      <c r="H32" s="4">
        <v>0</v>
      </c>
      <c r="I32" s="4">
        <v>0</v>
      </c>
      <c r="K32">
        <f t="shared" si="2"/>
        <v>31</v>
      </c>
      <c r="L32">
        <f t="shared" si="2"/>
        <v>10</v>
      </c>
    </row>
    <row r="33" spans="1:12" ht="13.9" customHeight="1" x14ac:dyDescent="0.35">
      <c r="A33" t="s">
        <v>13</v>
      </c>
      <c r="B33" s="6">
        <v>2</v>
      </c>
      <c r="C33" s="6">
        <v>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K33">
        <f t="shared" si="2"/>
        <v>2</v>
      </c>
      <c r="L33">
        <f t="shared" si="2"/>
        <v>1</v>
      </c>
    </row>
    <row r="34" spans="1:12" ht="13.9" customHeight="1" x14ac:dyDescent="0.35">
      <c r="A34" t="s">
        <v>14</v>
      </c>
      <c r="B34" s="6">
        <v>4</v>
      </c>
      <c r="C34" s="6">
        <v>2</v>
      </c>
      <c r="D34" s="6">
        <v>7</v>
      </c>
      <c r="E34" s="6">
        <v>4</v>
      </c>
      <c r="F34" s="6">
        <v>8</v>
      </c>
      <c r="G34" s="6">
        <v>7</v>
      </c>
      <c r="H34" s="6">
        <v>11</v>
      </c>
      <c r="I34" s="6">
        <v>10</v>
      </c>
      <c r="K34">
        <f t="shared" si="2"/>
        <v>30</v>
      </c>
      <c r="L34">
        <f t="shared" si="2"/>
        <v>23</v>
      </c>
    </row>
    <row r="35" spans="1:12" ht="13.9" customHeight="1" x14ac:dyDescent="0.35">
      <c r="A35" t="s">
        <v>15</v>
      </c>
      <c r="B35" s="6">
        <v>2</v>
      </c>
      <c r="C35" s="6">
        <v>1</v>
      </c>
      <c r="D35" s="6">
        <v>5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K35">
        <f t="shared" si="2"/>
        <v>7</v>
      </c>
      <c r="L35">
        <f t="shared" si="2"/>
        <v>4</v>
      </c>
    </row>
    <row r="37" spans="1:12" ht="13.9" customHeight="1" x14ac:dyDescent="0.35">
      <c r="B37">
        <f>SUM(B30:B35)/22</f>
        <v>0.95454545454545459</v>
      </c>
      <c r="C37">
        <f>SUM(C30:C35)/10</f>
        <v>0.9</v>
      </c>
      <c r="D37">
        <f>SUM(D30:D35)/36</f>
        <v>0.86111111111111116</v>
      </c>
      <c r="E37">
        <f>SUM(E30:E35)/24</f>
        <v>0.75</v>
      </c>
      <c r="F37">
        <f>SUM(F30:F35)/69</f>
        <v>0.52173913043478259</v>
      </c>
      <c r="G37">
        <f>SUM(G30:G35)/51</f>
        <v>0.49019607843137253</v>
      </c>
      <c r="H37">
        <f>SUM(H30:H35)/109</f>
        <v>0.42201834862385323</v>
      </c>
      <c r="I37">
        <f>SUM(I30:I35)/85</f>
        <v>0.41176470588235292</v>
      </c>
    </row>
    <row r="40" spans="1:12" ht="13.9" customHeight="1" x14ac:dyDescent="0.35">
      <c r="A40" t="s">
        <v>26</v>
      </c>
    </row>
    <row r="42" spans="1:12" ht="13.9" customHeight="1" x14ac:dyDescent="0.35">
      <c r="B42" t="s">
        <v>3</v>
      </c>
      <c r="D42" t="s">
        <v>4</v>
      </c>
      <c r="F42" t="s">
        <v>23</v>
      </c>
      <c r="H42" t="s">
        <v>24</v>
      </c>
      <c r="K42" t="s">
        <v>38</v>
      </c>
      <c r="L42" t="s">
        <v>39</v>
      </c>
    </row>
    <row r="43" spans="1:12" ht="13.9" customHeight="1" x14ac:dyDescent="0.35">
      <c r="A43" t="s">
        <v>10</v>
      </c>
      <c r="B43" s="7">
        <v>2</v>
      </c>
      <c r="C43" s="7">
        <v>1</v>
      </c>
      <c r="D43" s="7">
        <v>3</v>
      </c>
      <c r="E43" s="7">
        <v>2</v>
      </c>
      <c r="F43" s="7">
        <v>8</v>
      </c>
      <c r="G43" s="7">
        <v>6</v>
      </c>
      <c r="H43" s="7">
        <v>11</v>
      </c>
      <c r="I43" s="7">
        <v>8</v>
      </c>
      <c r="K43">
        <f>B43+D43+F43+H43</f>
        <v>24</v>
      </c>
      <c r="L43">
        <f>C43+E43+G43+I43</f>
        <v>17</v>
      </c>
    </row>
    <row r="44" spans="1:12" ht="13.9" customHeight="1" x14ac:dyDescent="0.35">
      <c r="A44" t="s">
        <v>11</v>
      </c>
      <c r="B44" s="7">
        <v>0</v>
      </c>
      <c r="C44" s="7">
        <v>0</v>
      </c>
      <c r="D44" s="7">
        <v>7</v>
      </c>
      <c r="E44" s="7">
        <v>6</v>
      </c>
      <c r="F44" s="7">
        <v>10</v>
      </c>
      <c r="G44" s="7">
        <v>10</v>
      </c>
      <c r="H44" s="7">
        <v>22</v>
      </c>
      <c r="I44" s="7">
        <v>21</v>
      </c>
      <c r="K44">
        <f t="shared" ref="K44:L48" si="3">B44+D44+F44+H44</f>
        <v>39</v>
      </c>
      <c r="L44">
        <f t="shared" si="3"/>
        <v>37</v>
      </c>
    </row>
    <row r="45" spans="1:12" ht="13.9" customHeight="1" x14ac:dyDescent="0.35">
      <c r="A45" t="s">
        <v>12</v>
      </c>
      <c r="B45" s="7">
        <v>6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K45">
        <f t="shared" si="3"/>
        <v>6</v>
      </c>
      <c r="L45">
        <f t="shared" si="3"/>
        <v>0</v>
      </c>
    </row>
    <row r="46" spans="1:12" ht="13.9" customHeight="1" x14ac:dyDescent="0.35">
      <c r="A46" t="s">
        <v>13</v>
      </c>
      <c r="B46" s="6">
        <v>2</v>
      </c>
      <c r="C46" s="6">
        <v>1</v>
      </c>
      <c r="D46" s="6">
        <v>4</v>
      </c>
      <c r="E46" s="6">
        <v>3</v>
      </c>
      <c r="F46" s="6">
        <v>0</v>
      </c>
      <c r="G46" s="6">
        <v>0</v>
      </c>
      <c r="H46" s="6">
        <v>0</v>
      </c>
      <c r="I46" s="6">
        <v>0</v>
      </c>
      <c r="K46">
        <f t="shared" si="3"/>
        <v>6</v>
      </c>
      <c r="L46">
        <f t="shared" si="3"/>
        <v>4</v>
      </c>
    </row>
    <row r="47" spans="1:12" ht="13.9" customHeight="1" x14ac:dyDescent="0.35">
      <c r="A47" t="s">
        <v>14</v>
      </c>
      <c r="B47" s="6">
        <v>4</v>
      </c>
      <c r="C47" s="6">
        <v>2</v>
      </c>
      <c r="D47" s="6">
        <v>7</v>
      </c>
      <c r="E47" s="6">
        <v>4</v>
      </c>
      <c r="F47" s="6">
        <v>10</v>
      </c>
      <c r="G47" s="6">
        <v>7</v>
      </c>
      <c r="H47" s="6">
        <v>14</v>
      </c>
      <c r="I47" s="6">
        <v>10</v>
      </c>
      <c r="K47">
        <f t="shared" si="3"/>
        <v>35</v>
      </c>
      <c r="L47">
        <f t="shared" si="3"/>
        <v>23</v>
      </c>
    </row>
    <row r="48" spans="1:12" ht="13.9" customHeight="1" x14ac:dyDescent="0.35">
      <c r="A48" t="s">
        <v>15</v>
      </c>
      <c r="B48" s="6">
        <v>2</v>
      </c>
      <c r="C48" s="6">
        <v>1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K48">
        <f t="shared" si="3"/>
        <v>2</v>
      </c>
      <c r="L48">
        <f t="shared" si="3"/>
        <v>1</v>
      </c>
    </row>
    <row r="50" spans="2:9" ht="14.5" x14ac:dyDescent="0.35">
      <c r="B50">
        <f>SUM(B43:B48)/22</f>
        <v>0.72727272727272729</v>
      </c>
      <c r="C50">
        <f>SUM(C43:C48)/10</f>
        <v>0.5</v>
      </c>
      <c r="D50">
        <f>SUM(D43:D48)/36</f>
        <v>0.58333333333333337</v>
      </c>
      <c r="E50">
        <f>SUM(E43:E48)/24</f>
        <v>0.625</v>
      </c>
      <c r="F50">
        <f>SUM(F43:F48)/69</f>
        <v>0.40579710144927539</v>
      </c>
      <c r="G50">
        <f>SUM(G43:G48)/51</f>
        <v>0.45098039215686275</v>
      </c>
      <c r="H50">
        <f>SUM(H43:H48)/109</f>
        <v>0.43119266055045874</v>
      </c>
      <c r="I50">
        <f>SUM(I43:I48)/85</f>
        <v>0.45882352941176469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8599-70C3-46FA-8DE0-9B4118DFED0D}">
  <dimension ref="A1:Y52"/>
  <sheetViews>
    <sheetView tabSelected="1" zoomScale="109" zoomScaleNormal="85" workbookViewId="0">
      <selection activeCell="K17" sqref="K17"/>
    </sheetView>
  </sheetViews>
  <sheetFormatPr baseColWidth="10" defaultColWidth="11.54296875" defaultRowHeight="13.9" customHeight="1" x14ac:dyDescent="0.35"/>
  <cols>
    <col min="1" max="9" width="10.453125" customWidth="1"/>
    <col min="10" max="10" width="11.453125" style="1" customWidth="1"/>
    <col min="11" max="11" width="10.453125" customWidth="1"/>
  </cols>
  <sheetData>
    <row r="1" spans="1:11" ht="13.9" customHeight="1" x14ac:dyDescent="0.35">
      <c r="A1" t="s">
        <v>0</v>
      </c>
    </row>
    <row r="3" spans="1:11" ht="13.9" customHeight="1" x14ac:dyDescent="0.35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11" ht="13.9" customHeight="1" x14ac:dyDescent="0.35">
      <c r="A4" t="s">
        <v>10</v>
      </c>
      <c r="B4" s="4">
        <v>4</v>
      </c>
      <c r="C4" s="4">
        <v>4</v>
      </c>
      <c r="D4" s="4">
        <v>4</v>
      </c>
      <c r="F4" s="4">
        <v>4</v>
      </c>
      <c r="J4" s="1">
        <f>SUM(B4:H4)/4</f>
        <v>4</v>
      </c>
    </row>
    <row r="5" spans="1:11" ht="13.9" customHeight="1" x14ac:dyDescent="0.35">
      <c r="A5" t="s">
        <v>11</v>
      </c>
      <c r="B5" s="4">
        <v>3</v>
      </c>
      <c r="C5" s="4">
        <v>3</v>
      </c>
      <c r="D5" s="4">
        <v>3</v>
      </c>
      <c r="E5" s="4">
        <v>2</v>
      </c>
      <c r="F5" s="4">
        <v>3</v>
      </c>
      <c r="G5" s="4">
        <v>3</v>
      </c>
      <c r="H5" s="4">
        <v>1</v>
      </c>
      <c r="J5" s="1">
        <f>SUM(B5:H5)/7</f>
        <v>2.5714285714285716</v>
      </c>
    </row>
    <row r="6" spans="1:11" ht="13.9" customHeight="1" x14ac:dyDescent="0.35">
      <c r="A6" t="s">
        <v>12</v>
      </c>
      <c r="B6" s="4">
        <v>5</v>
      </c>
      <c r="C6" s="4">
        <v>5</v>
      </c>
      <c r="D6" s="4">
        <v>3</v>
      </c>
      <c r="F6" s="4">
        <v>3</v>
      </c>
      <c r="J6" s="1">
        <f>SUM(B6:H6)/4</f>
        <v>4</v>
      </c>
    </row>
    <row r="7" spans="1:11" ht="13.9" customHeight="1" x14ac:dyDescent="0.35">
      <c r="A7" t="s">
        <v>13</v>
      </c>
      <c r="B7" s="6">
        <v>5</v>
      </c>
      <c r="C7" s="6">
        <v>4</v>
      </c>
      <c r="D7" s="6">
        <v>3</v>
      </c>
      <c r="F7" s="6">
        <v>4</v>
      </c>
      <c r="J7" s="1">
        <f>SUM(B7:H7)/4</f>
        <v>4</v>
      </c>
    </row>
    <row r="8" spans="1:11" ht="13.9" customHeight="1" x14ac:dyDescent="0.35">
      <c r="A8" t="s">
        <v>14</v>
      </c>
      <c r="B8" s="6">
        <v>4</v>
      </c>
      <c r="C8" s="6">
        <v>3</v>
      </c>
      <c r="D8" s="6">
        <v>3</v>
      </c>
      <c r="F8" s="6">
        <v>3</v>
      </c>
      <c r="J8" s="1">
        <f>SUM(B8:H8)/4</f>
        <v>3.25</v>
      </c>
    </row>
    <row r="9" spans="1:11" ht="13.9" customHeight="1" x14ac:dyDescent="0.35">
      <c r="A9" t="s">
        <v>15</v>
      </c>
      <c r="B9" s="6">
        <v>3</v>
      </c>
      <c r="C9" s="6">
        <v>3</v>
      </c>
      <c r="D9" s="6">
        <v>1</v>
      </c>
      <c r="F9" s="6">
        <v>1</v>
      </c>
      <c r="J9" s="1">
        <f>SUM(B9:H9)/4</f>
        <v>2</v>
      </c>
    </row>
    <row r="11" spans="1:11" ht="13.9" customHeight="1" x14ac:dyDescent="0.35">
      <c r="A11" s="1"/>
      <c r="B11" s="1">
        <f>SUM(B4:B9)/6</f>
        <v>4</v>
      </c>
      <c r="C11" s="1">
        <f>SUM(C4:C9)/6</f>
        <v>3.6666666666666665</v>
      </c>
      <c r="D11" s="1">
        <f>SUM(D4:D9)/6</f>
        <v>2.8333333333333335</v>
      </c>
      <c r="E11" s="1">
        <f>SUM(E4:E9)/1</f>
        <v>2</v>
      </c>
      <c r="F11" s="1">
        <f>SUM(F4:F9)/6</f>
        <v>3</v>
      </c>
      <c r="G11" s="1">
        <f>SUM(G4:G9)/1</f>
        <v>3</v>
      </c>
      <c r="H11" s="1">
        <f>SUM(H4:H9)/1</f>
        <v>1</v>
      </c>
      <c r="I11" s="1"/>
      <c r="K11" s="1"/>
    </row>
    <row r="14" spans="1:11" ht="13.9" customHeight="1" x14ac:dyDescent="0.35">
      <c r="A14" t="s">
        <v>16</v>
      </c>
    </row>
    <row r="16" spans="1:11" ht="13.9" customHeight="1" x14ac:dyDescent="0.35"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</row>
    <row r="17" spans="1:11" ht="13.9" customHeight="1" x14ac:dyDescent="0.35">
      <c r="A17" t="s">
        <v>10</v>
      </c>
      <c r="B17" s="7">
        <v>4</v>
      </c>
      <c r="C17" s="7">
        <v>4</v>
      </c>
      <c r="D17" s="7">
        <v>3</v>
      </c>
      <c r="F17" s="7">
        <v>3</v>
      </c>
      <c r="J17" s="1">
        <f>SUM(B17:H17)/4</f>
        <v>3.5</v>
      </c>
    </row>
    <row r="18" spans="1:11" ht="13.9" customHeight="1" x14ac:dyDescent="0.35">
      <c r="A18" t="s">
        <v>11</v>
      </c>
      <c r="B18" s="7">
        <v>3</v>
      </c>
      <c r="C18" s="7">
        <v>3</v>
      </c>
      <c r="D18" s="7">
        <v>3</v>
      </c>
      <c r="E18" s="7">
        <v>2</v>
      </c>
      <c r="F18" s="7">
        <v>3</v>
      </c>
      <c r="G18" s="7">
        <v>2</v>
      </c>
      <c r="H18" s="7">
        <v>3</v>
      </c>
      <c r="J18" s="1">
        <f>SUM(B18:H18)/7</f>
        <v>2.7142857142857144</v>
      </c>
    </row>
    <row r="19" spans="1:11" ht="13.9" customHeight="1" x14ac:dyDescent="0.35">
      <c r="A19" t="s">
        <v>12</v>
      </c>
      <c r="B19" s="7">
        <v>5</v>
      </c>
      <c r="C19" s="7">
        <v>5</v>
      </c>
      <c r="D19" s="7">
        <v>5</v>
      </c>
      <c r="F19" s="7">
        <v>3</v>
      </c>
      <c r="J19" s="1">
        <f>SUM(B19:H19)/4</f>
        <v>4.5</v>
      </c>
    </row>
    <row r="20" spans="1:11" ht="13.9" customHeight="1" x14ac:dyDescent="0.35">
      <c r="A20" t="s">
        <v>13</v>
      </c>
      <c r="B20" s="6">
        <v>5</v>
      </c>
      <c r="C20" s="6">
        <v>4</v>
      </c>
      <c r="D20" s="6">
        <v>4</v>
      </c>
      <c r="F20" s="6">
        <v>1</v>
      </c>
      <c r="J20" s="1">
        <f>SUM(B20:H20)/4</f>
        <v>3.5</v>
      </c>
    </row>
    <row r="21" spans="1:11" ht="13.9" customHeight="1" x14ac:dyDescent="0.35">
      <c r="A21" t="s">
        <v>14</v>
      </c>
      <c r="B21" s="6">
        <v>3</v>
      </c>
      <c r="C21" s="6">
        <v>3</v>
      </c>
      <c r="D21" s="6">
        <v>3</v>
      </c>
      <c r="F21" s="6">
        <v>3</v>
      </c>
      <c r="J21" s="1">
        <f>SUM(B21:H21)/4</f>
        <v>3</v>
      </c>
    </row>
    <row r="22" spans="1:11" ht="13.9" customHeight="1" x14ac:dyDescent="0.35">
      <c r="A22" t="s">
        <v>15</v>
      </c>
      <c r="B22" s="6">
        <v>5</v>
      </c>
      <c r="C22" s="6">
        <v>3</v>
      </c>
      <c r="D22" s="6">
        <v>2</v>
      </c>
      <c r="F22" s="6">
        <v>2</v>
      </c>
      <c r="J22" s="1">
        <f>SUM(B22:H22)/4</f>
        <v>3</v>
      </c>
    </row>
    <row r="24" spans="1:11" ht="13.9" customHeight="1" x14ac:dyDescent="0.35">
      <c r="A24" s="1"/>
      <c r="B24" s="1">
        <f>SUM(B17:B22)/6</f>
        <v>4.166666666666667</v>
      </c>
      <c r="C24" s="1">
        <f>SUM(C17:C22)/6</f>
        <v>3.6666666666666665</v>
      </c>
      <c r="D24" s="1">
        <f>SUM(D17:D22)/6</f>
        <v>3.3333333333333335</v>
      </c>
      <c r="E24" s="1">
        <f>SUM(E17:E22)/1</f>
        <v>2</v>
      </c>
      <c r="F24" s="1">
        <f>SUM(F17:F22)/6</f>
        <v>2.5</v>
      </c>
      <c r="G24" s="1">
        <f>SUM(G17:G22)/1</f>
        <v>2</v>
      </c>
      <c r="H24" s="1">
        <f>SUM(H17:H22)/1</f>
        <v>3</v>
      </c>
      <c r="I24" s="1"/>
      <c r="K24" s="1"/>
    </row>
    <row r="27" spans="1:11" ht="13.9" customHeight="1" x14ac:dyDescent="0.35">
      <c r="A27" t="s">
        <v>17</v>
      </c>
    </row>
    <row r="29" spans="1:11" ht="13.9" customHeight="1" x14ac:dyDescent="0.35"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</row>
    <row r="30" spans="1:11" ht="13.9" customHeight="1" x14ac:dyDescent="0.35">
      <c r="A30" t="s">
        <v>10</v>
      </c>
      <c r="B30" s="4">
        <v>4</v>
      </c>
      <c r="C30" s="4">
        <v>3</v>
      </c>
      <c r="D30" s="4">
        <v>1</v>
      </c>
      <c r="F30" s="4">
        <v>2</v>
      </c>
      <c r="J30" s="1">
        <f>SUM(B30:H30)/4</f>
        <v>2.5</v>
      </c>
    </row>
    <row r="31" spans="1:11" ht="13.9" customHeight="1" x14ac:dyDescent="0.35">
      <c r="A31" t="s">
        <v>11</v>
      </c>
      <c r="B31" s="4">
        <v>3</v>
      </c>
      <c r="C31" s="4">
        <v>3</v>
      </c>
      <c r="D31" s="4">
        <v>3</v>
      </c>
      <c r="E31" s="4">
        <v>3</v>
      </c>
      <c r="F31" s="4">
        <v>3</v>
      </c>
      <c r="G31" s="4">
        <v>4</v>
      </c>
      <c r="H31" s="4">
        <v>3</v>
      </c>
      <c r="J31" s="1">
        <f>SUM(B31:H31)/7</f>
        <v>3.1428571428571428</v>
      </c>
    </row>
    <row r="32" spans="1:11" ht="13.9" customHeight="1" x14ac:dyDescent="0.35">
      <c r="A32" t="s">
        <v>12</v>
      </c>
      <c r="B32" s="4">
        <v>4</v>
      </c>
      <c r="C32" s="4">
        <v>5</v>
      </c>
      <c r="D32" s="4">
        <v>3</v>
      </c>
      <c r="F32" s="4">
        <v>1</v>
      </c>
      <c r="J32" s="1">
        <f>SUM(B32:H32)/4</f>
        <v>3.25</v>
      </c>
    </row>
    <row r="33" spans="1:11" ht="13.9" customHeight="1" x14ac:dyDescent="0.35">
      <c r="A33" t="s">
        <v>13</v>
      </c>
      <c r="B33" s="6">
        <v>5</v>
      </c>
      <c r="C33" s="6">
        <v>4</v>
      </c>
      <c r="D33" s="6">
        <v>1</v>
      </c>
      <c r="F33" s="6">
        <v>1</v>
      </c>
      <c r="J33" s="1">
        <f>SUM(B33:H33)/4</f>
        <v>2.75</v>
      </c>
    </row>
    <row r="34" spans="1:11" ht="13.9" customHeight="1" x14ac:dyDescent="0.35">
      <c r="A34" t="s">
        <v>14</v>
      </c>
      <c r="B34" s="6">
        <v>3</v>
      </c>
      <c r="C34" s="6">
        <v>3</v>
      </c>
      <c r="D34" s="6">
        <v>3</v>
      </c>
      <c r="F34" s="6">
        <v>3</v>
      </c>
      <c r="J34" s="1">
        <f>SUM(B34:H34)/4</f>
        <v>3</v>
      </c>
    </row>
    <row r="35" spans="1:11" ht="13.9" customHeight="1" x14ac:dyDescent="0.35">
      <c r="A35" t="s">
        <v>15</v>
      </c>
      <c r="B35" s="6">
        <v>5</v>
      </c>
      <c r="C35" s="6">
        <v>3</v>
      </c>
      <c r="D35" s="6">
        <v>1</v>
      </c>
      <c r="F35" s="6">
        <v>1</v>
      </c>
      <c r="J35" s="1">
        <f>SUM(B35:H35)/12</f>
        <v>0.83333333333333337</v>
      </c>
    </row>
    <row r="37" spans="1:11" ht="13.9" customHeight="1" x14ac:dyDescent="0.35">
      <c r="A37" s="1"/>
      <c r="B37" s="1">
        <f>SUM(B30:B35)/6</f>
        <v>4</v>
      </c>
      <c r="C37" s="1">
        <f>SUM(C30:C35)/6</f>
        <v>3.5</v>
      </c>
      <c r="D37" s="1">
        <f>SUM(D30:D35)/6</f>
        <v>2</v>
      </c>
      <c r="E37" s="1">
        <f>SUM(E30:E35)/1</f>
        <v>3</v>
      </c>
      <c r="F37" s="1">
        <f>SUM(F30:F35)/6</f>
        <v>1.8333333333333333</v>
      </c>
      <c r="G37" s="1">
        <f>SUM(G30:G35)/1</f>
        <v>4</v>
      </c>
      <c r="H37" s="1">
        <f>SUM(H30:H35)/1</f>
        <v>3</v>
      </c>
      <c r="I37" s="1"/>
      <c r="K37" s="1"/>
    </row>
    <row r="40" spans="1:11" ht="13.9" customHeight="1" x14ac:dyDescent="0.35">
      <c r="A40" t="s">
        <v>19</v>
      </c>
    </row>
    <row r="42" spans="1:11" ht="13.9" customHeight="1" x14ac:dyDescent="0.35">
      <c r="B42" t="s">
        <v>3</v>
      </c>
      <c r="C42" t="s">
        <v>4</v>
      </c>
      <c r="D42" t="s">
        <v>5</v>
      </c>
      <c r="E42" t="s">
        <v>6</v>
      </c>
      <c r="F42" t="s">
        <v>7</v>
      </c>
      <c r="G42" t="s">
        <v>8</v>
      </c>
      <c r="H42" t="s">
        <v>9</v>
      </c>
    </row>
    <row r="43" spans="1:11" ht="13.9" customHeight="1" x14ac:dyDescent="0.35">
      <c r="A43" t="s">
        <v>10</v>
      </c>
      <c r="B43" s="7">
        <v>5</v>
      </c>
      <c r="C43" s="7">
        <v>4</v>
      </c>
      <c r="D43" s="7">
        <v>3</v>
      </c>
      <c r="F43" s="7">
        <v>3</v>
      </c>
      <c r="J43" s="1">
        <f>SUM(B43:H43)/4</f>
        <v>3.75</v>
      </c>
    </row>
    <row r="44" spans="1:11" ht="13.9" customHeight="1" x14ac:dyDescent="0.35">
      <c r="A44" t="s">
        <v>11</v>
      </c>
      <c r="B44" s="7">
        <v>1</v>
      </c>
      <c r="C44" s="7">
        <v>3</v>
      </c>
      <c r="D44" s="7">
        <v>3</v>
      </c>
      <c r="E44" s="7">
        <v>3</v>
      </c>
      <c r="F44" s="7">
        <v>3</v>
      </c>
      <c r="G44" s="7">
        <v>3</v>
      </c>
      <c r="H44" s="7">
        <v>3</v>
      </c>
      <c r="J44" s="1">
        <f>SUM(B44:H44)/7</f>
        <v>2.7142857142857144</v>
      </c>
    </row>
    <row r="45" spans="1:11" ht="13.9" customHeight="1" x14ac:dyDescent="0.35">
      <c r="A45" t="s">
        <v>12</v>
      </c>
      <c r="B45" s="7">
        <v>4</v>
      </c>
      <c r="C45" s="7">
        <v>1</v>
      </c>
      <c r="D45" s="7">
        <v>1</v>
      </c>
      <c r="F45" s="7">
        <v>1</v>
      </c>
      <c r="J45" s="1">
        <f>SUM(B45:H45)/4</f>
        <v>1.75</v>
      </c>
    </row>
    <row r="46" spans="1:11" ht="13.9" customHeight="1" x14ac:dyDescent="0.35">
      <c r="A46" t="s">
        <v>13</v>
      </c>
      <c r="B46" s="6">
        <v>5</v>
      </c>
      <c r="C46" s="6">
        <v>4</v>
      </c>
      <c r="D46" s="6">
        <v>1</v>
      </c>
      <c r="F46" s="6">
        <v>1</v>
      </c>
      <c r="J46" s="1">
        <f>SUM(B46:H46)/12</f>
        <v>0.91666666666666663</v>
      </c>
    </row>
    <row r="47" spans="1:11" ht="13.9" customHeight="1" x14ac:dyDescent="0.35">
      <c r="A47" t="s">
        <v>14</v>
      </c>
      <c r="B47" s="6">
        <v>3</v>
      </c>
      <c r="C47" s="6">
        <v>3</v>
      </c>
      <c r="D47" s="6">
        <v>3</v>
      </c>
      <c r="F47" s="6">
        <v>3</v>
      </c>
      <c r="J47" s="1">
        <f>SUM(B47:H47)/12</f>
        <v>1</v>
      </c>
    </row>
    <row r="48" spans="1:11" ht="13.9" customHeight="1" x14ac:dyDescent="0.35">
      <c r="A48" t="s">
        <v>15</v>
      </c>
      <c r="B48" s="6">
        <v>5</v>
      </c>
      <c r="C48" s="6">
        <v>1</v>
      </c>
      <c r="D48" s="6">
        <v>1</v>
      </c>
      <c r="F48" s="6">
        <v>1</v>
      </c>
      <c r="J48" s="1">
        <f>SUM(B48:H48)/12</f>
        <v>0.66666666666666663</v>
      </c>
    </row>
    <row r="49" spans="1:11" ht="14.5" x14ac:dyDescent="0.35"/>
    <row r="50" spans="1:11" ht="14.5" x14ac:dyDescent="0.35">
      <c r="A50" s="1"/>
      <c r="B50" s="1">
        <f>SUM(B43:B48)/6</f>
        <v>3.8333333333333335</v>
      </c>
      <c r="C50" s="1">
        <f>SUM(C43:C48)/6</f>
        <v>2.6666666666666665</v>
      </c>
      <c r="D50" s="1">
        <f>SUM(D43:D48)/6</f>
        <v>2</v>
      </c>
      <c r="E50" s="1">
        <f>SUM(E43:E48)/1</f>
        <v>3</v>
      </c>
      <c r="F50" s="1">
        <f>SUM(F43:F48)/6</f>
        <v>2</v>
      </c>
      <c r="G50" s="1">
        <f>SUM(G43:G48)/1</f>
        <v>3</v>
      </c>
      <c r="H50" s="1">
        <f>SUM(H43:H48)/1</f>
        <v>3</v>
      </c>
      <c r="I50" s="1"/>
      <c r="K50" s="1"/>
    </row>
    <row r="51" spans="1:11" ht="14.5" x14ac:dyDescent="0.35"/>
    <row r="52" spans="1:11" ht="14.5" x14ac:dyDescent="0.35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4A61-17CC-450A-BB1F-FB8D1295AA99}">
  <dimension ref="A1:Y33"/>
  <sheetViews>
    <sheetView zoomScale="109" zoomScaleNormal="85" workbookViewId="0">
      <selection activeCell="G30" sqref="G30"/>
    </sheetView>
  </sheetViews>
  <sheetFormatPr baseColWidth="10" defaultColWidth="11.54296875" defaultRowHeight="13.9" customHeight="1" x14ac:dyDescent="0.35"/>
  <cols>
    <col min="1" max="9" width="10.453125" customWidth="1"/>
    <col min="10" max="10" width="11.453125" style="1" customWidth="1"/>
    <col min="11" max="12" width="10.453125" customWidth="1"/>
    <col min="13" max="25" width="10.453125" hidden="1" customWidth="1"/>
  </cols>
  <sheetData>
    <row r="1" spans="1:25" ht="13.9" customHeight="1" x14ac:dyDescent="0.35">
      <c r="A1" t="s">
        <v>34</v>
      </c>
      <c r="M1" s="3" t="s">
        <v>1</v>
      </c>
      <c r="N1" s="3"/>
      <c r="O1" s="3"/>
      <c r="P1" s="3" t="s">
        <v>2</v>
      </c>
      <c r="Q1" s="3"/>
      <c r="R1" s="3"/>
      <c r="S1" s="3"/>
      <c r="T1" s="3"/>
      <c r="U1" s="3"/>
      <c r="V1" s="3"/>
      <c r="W1" s="3"/>
      <c r="X1" s="3"/>
      <c r="Y1" s="2"/>
    </row>
    <row r="2" spans="1:25" ht="13.9" customHeight="1" x14ac:dyDescent="0.35"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/>
    </row>
    <row r="3" spans="1:25" ht="13.9" customHeight="1" x14ac:dyDescent="0.35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M3" s="3"/>
      <c r="N3" s="3"/>
      <c r="O3" s="3"/>
      <c r="P3" s="3"/>
      <c r="Q3" s="3" t="s">
        <v>3</v>
      </c>
      <c r="R3" s="3" t="s">
        <v>4</v>
      </c>
      <c r="S3" s="3" t="s">
        <v>5</v>
      </c>
      <c r="T3" s="3" t="s">
        <v>6</v>
      </c>
      <c r="U3" s="3" t="s">
        <v>7</v>
      </c>
      <c r="V3" s="3" t="s">
        <v>8</v>
      </c>
      <c r="W3" s="3" t="s">
        <v>9</v>
      </c>
      <c r="X3" s="3"/>
      <c r="Y3" s="2"/>
    </row>
    <row r="4" spans="1:25" ht="13.9" customHeight="1" x14ac:dyDescent="0.35">
      <c r="A4" t="s">
        <v>10</v>
      </c>
      <c r="B4" s="4">
        <v>1</v>
      </c>
      <c r="C4" s="4">
        <v>1</v>
      </c>
      <c r="D4" s="4">
        <v>1</v>
      </c>
      <c r="F4" s="4">
        <v>1</v>
      </c>
      <c r="J4" s="1">
        <f>SUM(B4:H4)/12</f>
        <v>0.33333333333333331</v>
      </c>
      <c r="M4" s="3"/>
      <c r="N4" s="3"/>
      <c r="O4" s="3"/>
      <c r="P4" s="3" t="s">
        <v>10</v>
      </c>
      <c r="Q4" s="3">
        <v>2</v>
      </c>
      <c r="R4" s="3">
        <v>2</v>
      </c>
      <c r="S4" s="3">
        <v>3</v>
      </c>
      <c r="T4" s="3"/>
      <c r="U4" s="3">
        <v>2</v>
      </c>
      <c r="V4" s="3"/>
      <c r="W4" s="3"/>
      <c r="X4" s="3"/>
      <c r="Y4" s="2">
        <f>SUM(Q4:W4)/12</f>
        <v>0.75</v>
      </c>
    </row>
    <row r="5" spans="1:25" ht="13.9" customHeight="1" x14ac:dyDescent="0.35">
      <c r="A5" t="s">
        <v>11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J5" s="1">
        <f>SUM(B5:H5)/7</f>
        <v>0</v>
      </c>
      <c r="M5" s="3"/>
      <c r="N5" s="3"/>
      <c r="O5" s="3"/>
      <c r="P5" s="3" t="s">
        <v>11</v>
      </c>
      <c r="Q5" s="3">
        <v>1</v>
      </c>
      <c r="R5" s="3">
        <v>2</v>
      </c>
      <c r="S5" s="3">
        <v>0</v>
      </c>
      <c r="T5" s="3">
        <v>0</v>
      </c>
      <c r="U5" s="3">
        <v>2</v>
      </c>
      <c r="V5" s="3">
        <v>0</v>
      </c>
      <c r="W5" s="3">
        <v>0</v>
      </c>
      <c r="X5" s="3"/>
      <c r="Y5" s="2">
        <f>SUM(Q5:W5)/21</f>
        <v>0.23809523809523808</v>
      </c>
    </row>
    <row r="6" spans="1:25" ht="13.9" customHeight="1" x14ac:dyDescent="0.35">
      <c r="A6" t="s">
        <v>12</v>
      </c>
      <c r="B6" s="4">
        <v>0</v>
      </c>
      <c r="C6" s="4">
        <v>0</v>
      </c>
      <c r="D6" s="4">
        <v>0</v>
      </c>
      <c r="F6" s="4">
        <v>0</v>
      </c>
      <c r="J6" s="1">
        <f>SUM(B6:H6)/12</f>
        <v>0</v>
      </c>
      <c r="M6" s="3"/>
      <c r="N6" s="3"/>
      <c r="O6" s="3"/>
      <c r="P6" s="3" t="s">
        <v>12</v>
      </c>
      <c r="Q6" s="3">
        <v>3</v>
      </c>
      <c r="R6" s="3">
        <v>3</v>
      </c>
      <c r="S6" s="3">
        <v>0</v>
      </c>
      <c r="T6" s="3"/>
      <c r="U6" s="3">
        <v>0</v>
      </c>
      <c r="V6" s="3"/>
      <c r="W6" s="3"/>
      <c r="X6" s="3"/>
      <c r="Y6" s="2">
        <f>SUM(Q6:W6)/12</f>
        <v>0.5</v>
      </c>
    </row>
    <row r="7" spans="1:25" ht="13.9" customHeight="1" x14ac:dyDescent="0.35">
      <c r="A7" t="s">
        <v>13</v>
      </c>
      <c r="B7">
        <v>2</v>
      </c>
      <c r="C7">
        <v>3</v>
      </c>
      <c r="D7">
        <v>3</v>
      </c>
      <c r="F7">
        <v>2</v>
      </c>
      <c r="J7" s="1">
        <f>SUM(B7:H7)/12</f>
        <v>0.83333333333333337</v>
      </c>
      <c r="M7" s="3"/>
      <c r="N7" s="3"/>
      <c r="O7" s="3"/>
      <c r="P7" s="3" t="s">
        <v>13</v>
      </c>
      <c r="Q7" s="3">
        <v>2</v>
      </c>
      <c r="R7" s="3">
        <v>3</v>
      </c>
      <c r="S7" s="3">
        <v>3</v>
      </c>
      <c r="T7" s="3"/>
      <c r="U7" s="3">
        <v>2</v>
      </c>
      <c r="V7" s="3"/>
      <c r="W7" s="3"/>
      <c r="X7" s="3"/>
      <c r="Y7" s="2">
        <f>SUM(Q7:W7)/12</f>
        <v>0.83333333333333337</v>
      </c>
    </row>
    <row r="8" spans="1:25" ht="13.9" customHeight="1" x14ac:dyDescent="0.35">
      <c r="A8" t="s">
        <v>14</v>
      </c>
      <c r="B8">
        <v>3</v>
      </c>
      <c r="C8">
        <v>3</v>
      </c>
      <c r="D8">
        <v>3</v>
      </c>
      <c r="F8">
        <v>3</v>
      </c>
      <c r="J8" s="1">
        <f>SUM(B8:H8)/12</f>
        <v>1</v>
      </c>
      <c r="M8" s="3"/>
      <c r="N8" s="3"/>
      <c r="O8" s="3"/>
      <c r="P8" s="3" t="s">
        <v>14</v>
      </c>
      <c r="Q8" s="3">
        <v>2</v>
      </c>
      <c r="R8" s="3">
        <v>2</v>
      </c>
      <c r="S8" s="3">
        <v>0</v>
      </c>
      <c r="T8" s="3"/>
      <c r="U8" s="3">
        <v>0</v>
      </c>
      <c r="V8" s="3"/>
      <c r="W8" s="3"/>
      <c r="X8" s="3"/>
      <c r="Y8" s="2">
        <f>SUM(Q8:W8)/12</f>
        <v>0.33333333333333331</v>
      </c>
    </row>
    <row r="9" spans="1:25" ht="13.9" customHeight="1" x14ac:dyDescent="0.35">
      <c r="A9" t="s">
        <v>15</v>
      </c>
      <c r="B9">
        <v>1</v>
      </c>
      <c r="C9">
        <v>3</v>
      </c>
      <c r="D9">
        <v>3</v>
      </c>
      <c r="F9">
        <v>3</v>
      </c>
      <c r="J9" s="1">
        <f>SUM(B9:H9)/12</f>
        <v>0.83333333333333337</v>
      </c>
      <c r="M9" s="3"/>
      <c r="N9" s="3"/>
      <c r="O9" s="3"/>
      <c r="P9" s="3" t="s">
        <v>15</v>
      </c>
      <c r="Q9" s="3">
        <v>1</v>
      </c>
      <c r="R9" s="3">
        <v>2</v>
      </c>
      <c r="S9" s="3">
        <v>3</v>
      </c>
      <c r="T9" s="3"/>
      <c r="U9" s="3">
        <v>2</v>
      </c>
      <c r="V9" s="3"/>
      <c r="W9" s="3"/>
      <c r="X9" s="3"/>
      <c r="Y9" s="2">
        <f>SUM(Q9:W9)/12</f>
        <v>0.66666666666666663</v>
      </c>
    </row>
    <row r="10" spans="1:25" ht="13.9" customHeight="1" x14ac:dyDescent="0.35"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2"/>
    </row>
    <row r="11" spans="1:25" ht="13.9" customHeight="1" x14ac:dyDescent="0.35">
      <c r="A11" s="1"/>
      <c r="B11" s="1">
        <f>SUM(B4:B9)/6</f>
        <v>1.1666666666666667</v>
      </c>
      <c r="C11" s="1">
        <f>SUM(C4:C9)/6</f>
        <v>1.6666666666666667</v>
      </c>
      <c r="D11" s="1">
        <f>SUM(D4:D9)/6</f>
        <v>1.6666666666666667</v>
      </c>
      <c r="E11" s="1">
        <f>SUM(E4:E9)/1</f>
        <v>0</v>
      </c>
      <c r="F11" s="1">
        <f>SUM(F4:F9)/6</f>
        <v>1.5</v>
      </c>
      <c r="G11" s="1">
        <f>SUM(G4:G9)/1</f>
        <v>0</v>
      </c>
      <c r="H11" s="1">
        <f>SUM(H4:H9)/1</f>
        <v>0</v>
      </c>
      <c r="I11" s="1"/>
      <c r="K11" s="1"/>
      <c r="L11" s="1"/>
      <c r="M11" s="2"/>
      <c r="N11" s="2"/>
      <c r="O11" s="2"/>
      <c r="P11" s="2"/>
      <c r="Q11" s="2">
        <f>SUM(Q4:Q9)/18</f>
        <v>0.61111111111111116</v>
      </c>
      <c r="R11" s="2">
        <f>SUM(R4:R9)/18</f>
        <v>0.77777777777777779</v>
      </c>
      <c r="S11" s="2">
        <f>SUM(S4:S9)/18</f>
        <v>0.5</v>
      </c>
      <c r="T11" s="2">
        <f>SUM(T4:T9)/3</f>
        <v>0</v>
      </c>
      <c r="U11" s="2">
        <f>SUM(U4:U9)/18</f>
        <v>0.44444444444444442</v>
      </c>
      <c r="V11" s="2">
        <f>SUM(V4:V9)/3</f>
        <v>0</v>
      </c>
      <c r="W11" s="2">
        <f>SUM(W4:W9)/3</f>
        <v>0</v>
      </c>
      <c r="X11" s="2"/>
      <c r="Y11" s="2"/>
    </row>
    <row r="12" spans="1:25" ht="13.9" customHeight="1" x14ac:dyDescent="0.35"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2"/>
    </row>
    <row r="13" spans="1:25" ht="13.9" customHeight="1" x14ac:dyDescent="0.35">
      <c r="A13" t="s">
        <v>35</v>
      </c>
      <c r="M13" s="3"/>
      <c r="N13" s="3"/>
      <c r="O13" s="3"/>
      <c r="P13" s="3" t="s">
        <v>18</v>
      </c>
      <c r="Q13" s="3"/>
      <c r="R13" s="3"/>
      <c r="S13" s="3"/>
      <c r="T13" s="3"/>
      <c r="U13" s="3"/>
      <c r="V13" s="3"/>
      <c r="W13" s="3"/>
      <c r="X13" s="3"/>
      <c r="Y13" s="2"/>
    </row>
    <row r="14" spans="1:25" ht="13.9" customHeight="1" x14ac:dyDescent="0.35"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2"/>
    </row>
    <row r="15" spans="1:25" ht="13.9" customHeight="1" x14ac:dyDescent="0.35"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M15" s="3"/>
      <c r="N15" s="3"/>
      <c r="O15" s="3"/>
      <c r="P15" s="3"/>
      <c r="Q15" s="3" t="s">
        <v>3</v>
      </c>
      <c r="R15" s="3" t="s">
        <v>4</v>
      </c>
      <c r="S15" s="3" t="s">
        <v>5</v>
      </c>
      <c r="T15" s="3" t="s">
        <v>6</v>
      </c>
      <c r="U15" s="3" t="s">
        <v>7</v>
      </c>
      <c r="V15" s="3" t="s">
        <v>8</v>
      </c>
      <c r="W15" s="3" t="s">
        <v>9</v>
      </c>
      <c r="X15" s="3"/>
      <c r="Y15" s="2"/>
    </row>
    <row r="16" spans="1:25" ht="13.9" customHeight="1" x14ac:dyDescent="0.35">
      <c r="A16" t="s">
        <v>10</v>
      </c>
      <c r="B16" s="4">
        <v>1</v>
      </c>
      <c r="C16" s="4">
        <v>1</v>
      </c>
      <c r="D16" s="4">
        <v>1</v>
      </c>
      <c r="F16" s="4">
        <v>1</v>
      </c>
      <c r="J16" s="1">
        <f>SUM(B16:H16)/4</f>
        <v>1</v>
      </c>
      <c r="M16" s="3"/>
      <c r="N16" s="3"/>
      <c r="O16" s="3"/>
      <c r="P16" s="3" t="s">
        <v>10</v>
      </c>
      <c r="Q16" s="3">
        <v>1</v>
      </c>
      <c r="R16" s="3">
        <v>3</v>
      </c>
      <c r="S16" s="3">
        <v>0</v>
      </c>
      <c r="T16" s="3"/>
      <c r="U16" s="3">
        <v>1</v>
      </c>
      <c r="V16" s="3"/>
      <c r="W16" s="3"/>
      <c r="X16" s="3"/>
      <c r="Y16" s="2">
        <f>SUM(Q16:W16)/12</f>
        <v>0.41666666666666669</v>
      </c>
    </row>
    <row r="17" spans="1:25" ht="13.9" customHeight="1" x14ac:dyDescent="0.35">
      <c r="A17" t="s">
        <v>11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J17" s="1">
        <f>SUM(B17:H17)/7</f>
        <v>0</v>
      </c>
      <c r="M17" s="3"/>
      <c r="N17" s="3"/>
      <c r="O17" s="3"/>
      <c r="P17" s="3" t="s">
        <v>11</v>
      </c>
      <c r="Q17" s="3">
        <v>0</v>
      </c>
      <c r="R17" s="3">
        <v>0</v>
      </c>
      <c r="S17" s="3">
        <v>0</v>
      </c>
      <c r="T17" s="3">
        <v>1</v>
      </c>
      <c r="U17" s="3">
        <v>0</v>
      </c>
      <c r="V17" s="3">
        <v>0</v>
      </c>
      <c r="W17" s="3">
        <v>0</v>
      </c>
      <c r="X17" s="3"/>
      <c r="Y17" s="2">
        <f>SUM(Q17:W17)/21</f>
        <v>4.7619047619047616E-2</v>
      </c>
    </row>
    <row r="18" spans="1:25" ht="13.9" customHeight="1" x14ac:dyDescent="0.35">
      <c r="A18" t="s">
        <v>12</v>
      </c>
      <c r="B18" s="4">
        <v>0</v>
      </c>
      <c r="C18" s="4">
        <v>0</v>
      </c>
      <c r="D18" s="4">
        <v>0</v>
      </c>
      <c r="F18" s="4">
        <v>0</v>
      </c>
      <c r="J18" s="1">
        <f>SUM(B18:H18)/12</f>
        <v>0</v>
      </c>
      <c r="M18" s="3"/>
      <c r="N18" s="3"/>
      <c r="O18" s="3"/>
      <c r="P18" s="3" t="s">
        <v>12</v>
      </c>
      <c r="Q18" s="3">
        <v>2</v>
      </c>
      <c r="R18" s="3">
        <v>3</v>
      </c>
      <c r="S18" s="3">
        <v>0</v>
      </c>
      <c r="T18" s="3"/>
      <c r="U18" s="3">
        <v>0</v>
      </c>
      <c r="V18" s="3"/>
      <c r="W18" s="3"/>
      <c r="X18" s="3"/>
      <c r="Y18" s="2">
        <f>SUM(Q18:W18)/12</f>
        <v>0.41666666666666669</v>
      </c>
    </row>
    <row r="19" spans="1:25" ht="13.9" customHeight="1" x14ac:dyDescent="0.35">
      <c r="A19" t="s">
        <v>13</v>
      </c>
      <c r="B19">
        <v>2</v>
      </c>
      <c r="C19">
        <v>1</v>
      </c>
      <c r="D19">
        <v>2</v>
      </c>
      <c r="F19">
        <v>2</v>
      </c>
      <c r="J19" s="1">
        <f>SUM(B19:H19)/12</f>
        <v>0.58333333333333337</v>
      </c>
      <c r="M19" s="3"/>
      <c r="N19" s="3"/>
      <c r="O19" s="3"/>
      <c r="P19" s="3" t="s">
        <v>13</v>
      </c>
      <c r="Q19" s="3">
        <v>2</v>
      </c>
      <c r="R19" s="3">
        <v>1</v>
      </c>
      <c r="S19" s="3">
        <v>2</v>
      </c>
      <c r="T19" s="3"/>
      <c r="U19" s="3">
        <v>1</v>
      </c>
      <c r="V19" s="3"/>
      <c r="W19" s="3"/>
      <c r="X19" s="3"/>
      <c r="Y19" s="2">
        <f>SUM(Q19:W19)/12</f>
        <v>0.5</v>
      </c>
    </row>
    <row r="20" spans="1:25" ht="13.9" customHeight="1" x14ac:dyDescent="0.35">
      <c r="A20" t="s">
        <v>14</v>
      </c>
      <c r="B20">
        <v>3</v>
      </c>
      <c r="C20">
        <v>3</v>
      </c>
      <c r="D20">
        <v>3</v>
      </c>
      <c r="F20">
        <v>3</v>
      </c>
      <c r="J20" s="1">
        <f>SUM(B20:H20)/12</f>
        <v>1</v>
      </c>
      <c r="M20" s="3"/>
      <c r="N20" s="3"/>
      <c r="O20" s="3"/>
      <c r="P20" s="3" t="s">
        <v>14</v>
      </c>
      <c r="Q20" s="3">
        <v>1</v>
      </c>
      <c r="R20" s="3">
        <v>0</v>
      </c>
      <c r="S20" s="3">
        <v>0</v>
      </c>
      <c r="T20" s="3"/>
      <c r="U20" s="3">
        <v>0</v>
      </c>
      <c r="V20" s="3"/>
      <c r="W20" s="3"/>
      <c r="X20" s="3"/>
      <c r="Y20" s="2">
        <f>SUM(Q20:W20)/12</f>
        <v>8.3333333333333329E-2</v>
      </c>
    </row>
    <row r="21" spans="1:25" ht="13.9" customHeight="1" x14ac:dyDescent="0.35">
      <c r="A21" t="s">
        <v>15</v>
      </c>
      <c r="B21">
        <v>3</v>
      </c>
      <c r="C21">
        <v>3</v>
      </c>
      <c r="D21">
        <v>3</v>
      </c>
      <c r="F21">
        <v>3</v>
      </c>
      <c r="J21" s="1">
        <f>SUM(B21:H21)/12</f>
        <v>1</v>
      </c>
      <c r="M21" s="3"/>
      <c r="N21" s="3"/>
      <c r="O21" s="3"/>
      <c r="P21" s="3" t="s">
        <v>15</v>
      </c>
      <c r="Q21" s="3">
        <v>3</v>
      </c>
      <c r="R21" s="3">
        <v>3</v>
      </c>
      <c r="S21" s="3">
        <v>2</v>
      </c>
      <c r="T21" s="3"/>
      <c r="U21" s="3">
        <v>1</v>
      </c>
      <c r="V21" s="3"/>
      <c r="W21" s="3"/>
      <c r="X21" s="3"/>
      <c r="Y21" s="2">
        <f>SUM(Q21:W21)/12</f>
        <v>0.75</v>
      </c>
    </row>
    <row r="22" spans="1:25" ht="13.9" customHeight="1" x14ac:dyDescent="0.35"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2"/>
    </row>
    <row r="23" spans="1:25" ht="13.9" customHeight="1" x14ac:dyDescent="0.35">
      <c r="A23" s="1"/>
      <c r="B23" s="1">
        <f>SUM(B16:B21)/6</f>
        <v>1.5</v>
      </c>
      <c r="C23" s="1">
        <f>SUM(C16:C21)/6</f>
        <v>1.3333333333333333</v>
      </c>
      <c r="D23" s="1">
        <f>SUM(D16:D21)/6</f>
        <v>1.5</v>
      </c>
      <c r="E23" s="1">
        <f>SUM(E16:E21)/1</f>
        <v>0</v>
      </c>
      <c r="F23" s="1">
        <f>SUM(F16:F21)/6</f>
        <v>1.5</v>
      </c>
      <c r="G23" s="1">
        <f>SUM(G16:G21)/1</f>
        <v>0</v>
      </c>
      <c r="H23" s="1">
        <f>SUM(H16:H21)/1</f>
        <v>0</v>
      </c>
      <c r="I23" s="1"/>
      <c r="K23" s="1"/>
      <c r="L23" s="1"/>
      <c r="M23" s="2"/>
      <c r="N23" s="2"/>
      <c r="O23" s="2"/>
      <c r="P23" s="2"/>
      <c r="Q23" s="2">
        <f>SUM(Q16:Q21)/18</f>
        <v>0.5</v>
      </c>
      <c r="R23" s="2">
        <f>SUM(R16:R21)/18</f>
        <v>0.55555555555555558</v>
      </c>
      <c r="S23" s="2">
        <f>SUM(S16:S21)/18</f>
        <v>0.22222222222222221</v>
      </c>
      <c r="T23" s="2">
        <f>SUM(T16:T21)/3</f>
        <v>0.33333333333333331</v>
      </c>
      <c r="U23" s="2">
        <f>SUM(U16:U21)/18</f>
        <v>0.16666666666666666</v>
      </c>
      <c r="V23" s="2">
        <f>SUM(V16:V21)/3</f>
        <v>0</v>
      </c>
      <c r="W23" s="2">
        <f>SUM(W16:W21)/3</f>
        <v>0</v>
      </c>
      <c r="X23" s="2"/>
      <c r="Y23" s="2"/>
    </row>
    <row r="24" spans="1:25" ht="13.9" customHeight="1" x14ac:dyDescent="0.35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2"/>
    </row>
    <row r="25" spans="1:25" ht="13.9" customHeight="1" x14ac:dyDescent="0.35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2"/>
    </row>
    <row r="26" spans="1:25" ht="14.5" x14ac:dyDescent="0.35">
      <c r="A26" t="s">
        <v>36</v>
      </c>
      <c r="M26" s="3"/>
      <c r="N26" s="3"/>
      <c r="O26" s="3"/>
      <c r="P26" s="3" t="s">
        <v>20</v>
      </c>
      <c r="Q26" s="3"/>
      <c r="R26" s="3"/>
      <c r="S26" s="3"/>
      <c r="T26" s="3"/>
      <c r="U26" s="3"/>
      <c r="V26" s="3"/>
      <c r="W26" s="3"/>
      <c r="X26" s="3"/>
      <c r="Y26" s="2"/>
    </row>
    <row r="27" spans="1:25" ht="14.5" x14ac:dyDescent="0.35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2"/>
    </row>
    <row r="28" spans="1:25" ht="14.5" x14ac:dyDescent="0.35">
      <c r="B28" t="s">
        <v>3</v>
      </c>
      <c r="C28" t="s">
        <v>4</v>
      </c>
      <c r="M28" s="3"/>
      <c r="N28" s="3"/>
      <c r="O28" s="3"/>
      <c r="P28" s="3"/>
      <c r="Q28" s="3" t="s">
        <v>3</v>
      </c>
      <c r="R28" s="3" t="s">
        <v>4</v>
      </c>
      <c r="S28" s="3"/>
      <c r="T28" s="3"/>
      <c r="U28" s="3"/>
      <c r="V28" s="3"/>
      <c r="W28" s="3"/>
      <c r="X28" s="3"/>
      <c r="Y28" s="2"/>
    </row>
    <row r="29" spans="1:25" ht="14.5" x14ac:dyDescent="0.35">
      <c r="A29" t="s">
        <v>21</v>
      </c>
      <c r="B29">
        <v>3</v>
      </c>
      <c r="C29">
        <v>1</v>
      </c>
      <c r="E29" s="1">
        <f>SUM(B29:C29)/6</f>
        <v>0.66666666666666663</v>
      </c>
      <c r="M29" s="3"/>
      <c r="N29" s="3"/>
      <c r="O29" s="3"/>
      <c r="P29" s="3" t="s">
        <v>21</v>
      </c>
      <c r="Q29" s="3">
        <v>0</v>
      </c>
      <c r="R29" s="3">
        <v>0</v>
      </c>
      <c r="S29" s="3"/>
      <c r="T29" s="2">
        <f>SUM(Q29:R29)/6</f>
        <v>0</v>
      </c>
      <c r="U29" s="3"/>
      <c r="V29" s="3"/>
      <c r="W29" s="3"/>
      <c r="X29" s="3"/>
      <c r="Y29" s="2"/>
    </row>
    <row r="30" spans="1:25" ht="14.5" x14ac:dyDescent="0.35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2"/>
    </row>
    <row r="31" spans="1:25" ht="14.5" x14ac:dyDescent="0.35">
      <c r="A31" s="1"/>
      <c r="B31" s="1">
        <f>SUM(B29)/3</f>
        <v>1</v>
      </c>
      <c r="C31" s="1">
        <f>SUM(C29)/3</f>
        <v>0.33333333333333331</v>
      </c>
      <c r="D31" s="1"/>
      <c r="E31" s="1"/>
      <c r="F31" s="1"/>
      <c r="G31" s="1"/>
      <c r="H31" s="1"/>
      <c r="I31" s="1"/>
      <c r="K31" s="1"/>
      <c r="L31" s="1"/>
      <c r="M31" s="2"/>
      <c r="N31" s="2"/>
      <c r="O31" s="2"/>
      <c r="P31" s="2"/>
      <c r="Q31" s="2">
        <f>SUM(Q29)/3</f>
        <v>0</v>
      </c>
      <c r="R31" s="2">
        <f>SUM(R29)/3</f>
        <v>0</v>
      </c>
      <c r="S31" s="2"/>
      <c r="T31" s="2"/>
      <c r="U31" s="2"/>
      <c r="V31" s="2"/>
      <c r="W31" s="2"/>
      <c r="X31" s="2"/>
      <c r="Y31" s="2"/>
    </row>
    <row r="32" spans="1:25" ht="14.5" x14ac:dyDescent="0.35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2"/>
    </row>
    <row r="33" spans="13:25" ht="14.5" x14ac:dyDescent="0.35">
      <c r="M33" s="3"/>
      <c r="N33" s="3"/>
      <c r="O33" s="3"/>
      <c r="P33" s="3"/>
      <c r="Q33" s="2" t="e">
        <f>SUM(#REF!)/6</f>
        <v>#REF!</v>
      </c>
      <c r="R33" s="2" t="e">
        <f>SUM(#REF!)/6</f>
        <v>#REF!</v>
      </c>
      <c r="S33" s="3"/>
      <c r="T33" s="3"/>
      <c r="U33" s="3"/>
      <c r="V33" s="3"/>
      <c r="W33" s="3"/>
      <c r="X33" s="3"/>
      <c r="Y3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8E94-7FF6-4DF2-A8FD-8B3A1DC4EB2B}">
  <dimension ref="A1:L37"/>
  <sheetViews>
    <sheetView zoomScaleNormal="100" workbookViewId="0">
      <selection activeCell="B17" sqref="B17"/>
    </sheetView>
  </sheetViews>
  <sheetFormatPr baseColWidth="10" defaultColWidth="11.54296875" defaultRowHeight="13.9" customHeight="1" x14ac:dyDescent="0.35"/>
  <cols>
    <col min="1" max="9" width="10.453125" customWidth="1"/>
  </cols>
  <sheetData>
    <row r="1" spans="1:12" ht="13.9" customHeight="1" x14ac:dyDescent="0.35">
      <c r="A1" t="s">
        <v>34</v>
      </c>
      <c r="L1" t="s">
        <v>22</v>
      </c>
    </row>
    <row r="2" spans="1:12" ht="13.9" customHeight="1" x14ac:dyDescent="0.35">
      <c r="B2" t="s">
        <v>3</v>
      </c>
      <c r="D2" t="s">
        <v>4</v>
      </c>
      <c r="F2" t="s">
        <v>23</v>
      </c>
      <c r="H2" t="s">
        <v>24</v>
      </c>
    </row>
    <row r="4" spans="1:12" ht="13.9" customHeight="1" x14ac:dyDescent="0.35">
      <c r="A4" t="s">
        <v>10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</row>
    <row r="5" spans="1:12" ht="13.9" customHeight="1" x14ac:dyDescent="0.35">
      <c r="A5" t="s">
        <v>11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12" ht="13.9" customHeight="1" x14ac:dyDescent="0.35">
      <c r="A6" t="s">
        <v>12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</row>
    <row r="7" spans="1:12" ht="13.9" customHeight="1" x14ac:dyDescent="0.35">
      <c r="A7" t="s">
        <v>13</v>
      </c>
      <c r="B7">
        <v>2</v>
      </c>
      <c r="C7">
        <v>1</v>
      </c>
      <c r="D7">
        <v>4</v>
      </c>
      <c r="E7">
        <v>3</v>
      </c>
      <c r="F7">
        <v>9</v>
      </c>
      <c r="G7">
        <v>8</v>
      </c>
      <c r="H7">
        <v>13</v>
      </c>
      <c r="I7">
        <v>12</v>
      </c>
    </row>
    <row r="8" spans="1:12" ht="13.9" customHeight="1" x14ac:dyDescent="0.35">
      <c r="A8" t="s">
        <v>14</v>
      </c>
      <c r="B8">
        <v>4</v>
      </c>
      <c r="C8">
        <v>3</v>
      </c>
      <c r="D8">
        <v>7</v>
      </c>
      <c r="E8">
        <v>6</v>
      </c>
      <c r="F8">
        <v>5</v>
      </c>
      <c r="G8">
        <v>3</v>
      </c>
      <c r="H8">
        <v>10</v>
      </c>
      <c r="I8">
        <v>11</v>
      </c>
    </row>
    <row r="9" spans="1:12" ht="13.9" customHeight="1" x14ac:dyDescent="0.35">
      <c r="A9" t="s">
        <v>15</v>
      </c>
      <c r="B9">
        <v>2</v>
      </c>
      <c r="C9">
        <v>1</v>
      </c>
      <c r="D9">
        <v>5</v>
      </c>
      <c r="E9">
        <v>4</v>
      </c>
      <c r="F9">
        <v>9</v>
      </c>
      <c r="G9">
        <v>8</v>
      </c>
      <c r="H9">
        <v>12</v>
      </c>
      <c r="I9">
        <v>10</v>
      </c>
    </row>
    <row r="11" spans="1:12" ht="13.9" customHeight="1" x14ac:dyDescent="0.35">
      <c r="B11">
        <f>SUM(B4:B9)/22</f>
        <v>0.36363636363636365</v>
      </c>
      <c r="C11">
        <f>SUM(C4:C9)/10</f>
        <v>0.5</v>
      </c>
      <c r="D11">
        <f>SUM(D4:D9)/36</f>
        <v>0.44444444444444442</v>
      </c>
      <c r="E11">
        <f>SUM(E4:E9)/24</f>
        <v>0.54166666666666663</v>
      </c>
      <c r="F11">
        <f>SUM(F4:F9)/69</f>
        <v>0.33333333333333331</v>
      </c>
      <c r="G11">
        <f>SUM(G4:G9)/51</f>
        <v>0.37254901960784315</v>
      </c>
      <c r="H11">
        <f>SUM(H4:H9)/109</f>
        <v>0.32110091743119268</v>
      </c>
      <c r="I11">
        <f>SUM(I4:I9)/85</f>
        <v>0.38823529411764707</v>
      </c>
    </row>
    <row r="14" spans="1:12" ht="13.9" customHeight="1" x14ac:dyDescent="0.35">
      <c r="A14" t="s">
        <v>35</v>
      </c>
    </row>
    <row r="16" spans="1:12" ht="13.9" customHeight="1" x14ac:dyDescent="0.35">
      <c r="B16" t="s">
        <v>3</v>
      </c>
      <c r="D16" t="s">
        <v>4</v>
      </c>
      <c r="F16" t="s">
        <v>23</v>
      </c>
      <c r="H16" t="s">
        <v>24</v>
      </c>
    </row>
    <row r="17" spans="1:9" ht="13.9" customHeight="1" x14ac:dyDescent="0.35">
      <c r="A17" t="s">
        <v>10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 ht="13.9" customHeight="1" x14ac:dyDescent="0.35">
      <c r="A18" t="s">
        <v>11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 ht="13.9" customHeight="1" x14ac:dyDescent="0.35">
      <c r="A19" t="s">
        <v>12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9" ht="13.9" customHeight="1" x14ac:dyDescent="0.35">
      <c r="A20" t="s">
        <v>13</v>
      </c>
      <c r="B20">
        <v>2</v>
      </c>
      <c r="C20">
        <v>1</v>
      </c>
      <c r="D20">
        <v>4</v>
      </c>
      <c r="E20">
        <v>3</v>
      </c>
      <c r="F20">
        <v>9</v>
      </c>
      <c r="G20">
        <v>8</v>
      </c>
      <c r="H20">
        <v>13</v>
      </c>
      <c r="I20">
        <v>11</v>
      </c>
    </row>
    <row r="21" spans="1:9" ht="13.9" customHeight="1" x14ac:dyDescent="0.35">
      <c r="A21" t="s">
        <v>14</v>
      </c>
      <c r="B21">
        <v>4</v>
      </c>
      <c r="C21">
        <v>3</v>
      </c>
      <c r="D21">
        <v>6</v>
      </c>
      <c r="E21">
        <v>5</v>
      </c>
      <c r="F21">
        <v>9</v>
      </c>
      <c r="G21">
        <v>3</v>
      </c>
      <c r="H21">
        <v>9</v>
      </c>
      <c r="I21">
        <v>3</v>
      </c>
    </row>
    <row r="22" spans="1:9" ht="13.9" customHeight="1" x14ac:dyDescent="0.35">
      <c r="A22" t="s">
        <v>15</v>
      </c>
      <c r="B22">
        <v>2</v>
      </c>
      <c r="C22">
        <v>1</v>
      </c>
      <c r="D22">
        <v>5</v>
      </c>
      <c r="E22">
        <v>4</v>
      </c>
      <c r="F22">
        <v>9</v>
      </c>
      <c r="G22">
        <v>8</v>
      </c>
      <c r="H22">
        <v>12</v>
      </c>
      <c r="I22">
        <v>10</v>
      </c>
    </row>
    <row r="24" spans="1:9" ht="13.9" customHeight="1" x14ac:dyDescent="0.35">
      <c r="B24">
        <f>SUM(B17:B22)/22</f>
        <v>0.36363636363636365</v>
      </c>
      <c r="C24">
        <f>SUM(C17:C22)/10</f>
        <v>0.5</v>
      </c>
      <c r="D24">
        <f>SUM(D17:D22)/36</f>
        <v>0.41666666666666669</v>
      </c>
      <c r="E24">
        <f>SUM(E17:E22)/24</f>
        <v>0.5</v>
      </c>
      <c r="F24">
        <f>SUM(F17:F22)/69</f>
        <v>0.39130434782608697</v>
      </c>
      <c r="G24">
        <f>SUM(G17:G22)/51</f>
        <v>0.37254901960784315</v>
      </c>
      <c r="H24">
        <f>SUM(H17:H22)/109</f>
        <v>0.31192660550458717</v>
      </c>
      <c r="I24">
        <f>SUM(I17:I22)/85</f>
        <v>0.28235294117647058</v>
      </c>
    </row>
    <row r="27" spans="1:9" ht="14.5" x14ac:dyDescent="0.35">
      <c r="A27" t="s">
        <v>36</v>
      </c>
    </row>
    <row r="29" spans="1:9" ht="14.5" x14ac:dyDescent="0.35">
      <c r="B29" t="s">
        <v>3</v>
      </c>
      <c r="D29" t="s">
        <v>4</v>
      </c>
    </row>
    <row r="30" spans="1:9" ht="14.5" x14ac:dyDescent="0.35">
      <c r="A30" t="s">
        <v>10</v>
      </c>
      <c r="B30">
        <v>2</v>
      </c>
      <c r="C30">
        <v>1</v>
      </c>
      <c r="D30">
        <v>3</v>
      </c>
      <c r="E30">
        <v>2</v>
      </c>
    </row>
    <row r="31" spans="1:9" ht="14.5" x14ac:dyDescent="0.35">
      <c r="A31" t="s">
        <v>11</v>
      </c>
      <c r="B31">
        <v>5</v>
      </c>
      <c r="C31">
        <v>4</v>
      </c>
      <c r="D31">
        <v>7</v>
      </c>
      <c r="E31">
        <v>5</v>
      </c>
    </row>
    <row r="32" spans="1:9" ht="14.5" x14ac:dyDescent="0.35">
      <c r="A32" t="s">
        <v>12</v>
      </c>
      <c r="B32">
        <v>1</v>
      </c>
      <c r="C32">
        <v>0</v>
      </c>
      <c r="D32">
        <v>1</v>
      </c>
      <c r="E32">
        <v>0</v>
      </c>
    </row>
    <row r="33" spans="1:5" ht="14.5" x14ac:dyDescent="0.35">
      <c r="A33" t="s">
        <v>13</v>
      </c>
      <c r="B33">
        <v>2</v>
      </c>
      <c r="C33">
        <v>1</v>
      </c>
      <c r="D33">
        <v>4</v>
      </c>
      <c r="E33">
        <v>3</v>
      </c>
    </row>
    <row r="34" spans="1:5" ht="14.5" x14ac:dyDescent="0.35">
      <c r="A34" t="s">
        <v>14</v>
      </c>
      <c r="B34">
        <v>3</v>
      </c>
      <c r="C34">
        <v>2</v>
      </c>
      <c r="D34">
        <v>5</v>
      </c>
      <c r="E34">
        <v>4</v>
      </c>
    </row>
    <row r="35" spans="1:5" ht="14.5" x14ac:dyDescent="0.35">
      <c r="A35" t="s">
        <v>15</v>
      </c>
      <c r="B35">
        <v>2</v>
      </c>
      <c r="C35">
        <v>1</v>
      </c>
      <c r="D35">
        <v>5</v>
      </c>
      <c r="E35">
        <v>4</v>
      </c>
    </row>
    <row r="37" spans="1:5" ht="14.5" x14ac:dyDescent="0.35">
      <c r="B37">
        <f>SUM(B30:B35)/19</f>
        <v>0.78947368421052633</v>
      </c>
      <c r="C37">
        <f>SUM(C30:C35)/9</f>
        <v>1</v>
      </c>
      <c r="D37">
        <f>SUM(D30:D35)/29</f>
        <v>0.86206896551724133</v>
      </c>
      <c r="E37">
        <f>SUM(E30:E35)/18</f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48F7-6D7A-45FB-96F2-0C919819593F}">
  <dimension ref="A1:I37"/>
  <sheetViews>
    <sheetView zoomScale="85" zoomScaleNormal="85" workbookViewId="0">
      <selection activeCell="J16" sqref="J16"/>
    </sheetView>
  </sheetViews>
  <sheetFormatPr baseColWidth="10" defaultColWidth="11.54296875" defaultRowHeight="13.9" customHeight="1" x14ac:dyDescent="0.35"/>
  <cols>
    <col min="1" max="9" width="10.453125" customWidth="1"/>
  </cols>
  <sheetData>
    <row r="1" spans="1:9" ht="13.9" customHeight="1" x14ac:dyDescent="0.35">
      <c r="A1" t="s">
        <v>34</v>
      </c>
    </row>
    <row r="2" spans="1:9" ht="13.9" customHeight="1" x14ac:dyDescent="0.35">
      <c r="B2" t="s">
        <v>3</v>
      </c>
      <c r="D2" t="s">
        <v>4</v>
      </c>
      <c r="F2" t="s">
        <v>23</v>
      </c>
      <c r="H2" t="s">
        <v>24</v>
      </c>
    </row>
    <row r="4" spans="1:9" ht="13.9" customHeight="1" x14ac:dyDescent="0.35">
      <c r="A4" t="s">
        <v>10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</row>
    <row r="5" spans="1:9" ht="13.9" customHeight="1" x14ac:dyDescent="0.35">
      <c r="A5" t="s">
        <v>11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9" ht="13.9" customHeight="1" x14ac:dyDescent="0.35">
      <c r="A6" t="s">
        <v>12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</row>
    <row r="7" spans="1:9" ht="13.9" customHeight="1" x14ac:dyDescent="0.35">
      <c r="A7" t="s">
        <v>13</v>
      </c>
      <c r="B7">
        <v>2</v>
      </c>
      <c r="C7">
        <v>1</v>
      </c>
      <c r="D7">
        <v>4</v>
      </c>
      <c r="E7">
        <v>2</v>
      </c>
      <c r="F7">
        <v>9</v>
      </c>
      <c r="G7">
        <v>6</v>
      </c>
      <c r="H7">
        <v>13</v>
      </c>
      <c r="I7">
        <v>10</v>
      </c>
    </row>
    <row r="8" spans="1:9" ht="13.9" customHeight="1" x14ac:dyDescent="0.35">
      <c r="A8" t="s">
        <v>14</v>
      </c>
      <c r="B8">
        <v>4</v>
      </c>
      <c r="C8">
        <v>3</v>
      </c>
      <c r="D8">
        <v>7</v>
      </c>
      <c r="E8">
        <v>6</v>
      </c>
      <c r="F8">
        <v>5</v>
      </c>
      <c r="G8">
        <v>0</v>
      </c>
      <c r="H8">
        <v>10</v>
      </c>
      <c r="I8">
        <v>0</v>
      </c>
    </row>
    <row r="9" spans="1:9" ht="13.9" customHeight="1" x14ac:dyDescent="0.35">
      <c r="A9" t="s">
        <v>15</v>
      </c>
      <c r="B9">
        <v>2</v>
      </c>
      <c r="C9">
        <v>1</v>
      </c>
      <c r="D9">
        <v>5</v>
      </c>
      <c r="E9">
        <v>4</v>
      </c>
      <c r="F9">
        <v>9</v>
      </c>
      <c r="G9">
        <v>8</v>
      </c>
      <c r="H9">
        <v>12</v>
      </c>
      <c r="I9">
        <v>10</v>
      </c>
    </row>
    <row r="11" spans="1:9" ht="13.9" customHeight="1" x14ac:dyDescent="0.35">
      <c r="B11">
        <f>SUM(B4:B9)/22</f>
        <v>0.36363636363636365</v>
      </c>
      <c r="C11">
        <f>SUM(C4:C9)/10</f>
        <v>0.5</v>
      </c>
      <c r="D11">
        <f>SUM(D4:D9)/36</f>
        <v>0.44444444444444442</v>
      </c>
      <c r="E11">
        <f>SUM(E4:E9)/24</f>
        <v>0.5</v>
      </c>
      <c r="F11">
        <f>SUM(F4:F9)/69</f>
        <v>0.33333333333333331</v>
      </c>
      <c r="G11">
        <f>SUM(G4:G9)/51</f>
        <v>0.27450980392156865</v>
      </c>
      <c r="H11">
        <f>SUM(H4:H9)/109</f>
        <v>0.32110091743119268</v>
      </c>
      <c r="I11">
        <f>SUM(I4:I9)/85</f>
        <v>0.23529411764705882</v>
      </c>
    </row>
    <row r="14" spans="1:9" ht="13.9" customHeight="1" x14ac:dyDescent="0.35">
      <c r="A14" t="s">
        <v>35</v>
      </c>
    </row>
    <row r="16" spans="1:9" ht="13.9" customHeight="1" x14ac:dyDescent="0.35">
      <c r="B16" t="s">
        <v>3</v>
      </c>
      <c r="D16" t="s">
        <v>4</v>
      </c>
      <c r="F16" t="s">
        <v>23</v>
      </c>
      <c r="H16" t="s">
        <v>24</v>
      </c>
    </row>
    <row r="17" spans="1:9" ht="13.9" customHeight="1" x14ac:dyDescent="0.35">
      <c r="A17" t="s">
        <v>10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 ht="13.9" customHeight="1" x14ac:dyDescent="0.35">
      <c r="A18" t="s">
        <v>11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 ht="13.9" customHeight="1" x14ac:dyDescent="0.35">
      <c r="A19" t="s">
        <v>12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9" ht="13.9" customHeight="1" x14ac:dyDescent="0.35">
      <c r="A20" t="s">
        <v>13</v>
      </c>
      <c r="B20">
        <v>2</v>
      </c>
      <c r="C20">
        <v>1</v>
      </c>
      <c r="D20">
        <v>4</v>
      </c>
      <c r="E20">
        <v>2</v>
      </c>
      <c r="F20">
        <v>9</v>
      </c>
      <c r="G20">
        <v>6</v>
      </c>
      <c r="H20">
        <v>13</v>
      </c>
      <c r="I20">
        <v>9</v>
      </c>
    </row>
    <row r="21" spans="1:9" ht="13.9" customHeight="1" x14ac:dyDescent="0.35">
      <c r="A21" t="s">
        <v>14</v>
      </c>
      <c r="B21">
        <v>4</v>
      </c>
      <c r="C21">
        <v>3</v>
      </c>
      <c r="D21">
        <v>6</v>
      </c>
      <c r="E21">
        <v>5</v>
      </c>
      <c r="F21">
        <v>9</v>
      </c>
      <c r="G21">
        <v>3</v>
      </c>
      <c r="H21">
        <v>9</v>
      </c>
      <c r="I21">
        <v>0</v>
      </c>
    </row>
    <row r="22" spans="1:9" ht="13.9" customHeight="1" x14ac:dyDescent="0.35">
      <c r="A22" t="s">
        <v>15</v>
      </c>
      <c r="B22">
        <v>2</v>
      </c>
      <c r="C22">
        <v>1</v>
      </c>
      <c r="D22">
        <v>5</v>
      </c>
      <c r="E22">
        <v>4</v>
      </c>
      <c r="F22">
        <v>9</v>
      </c>
      <c r="G22">
        <v>8</v>
      </c>
      <c r="H22">
        <v>12</v>
      </c>
      <c r="I22">
        <v>10</v>
      </c>
    </row>
    <row r="24" spans="1:9" ht="13.9" customHeight="1" x14ac:dyDescent="0.35">
      <c r="B24">
        <f>SUM(B17:B22)/22</f>
        <v>0.36363636363636365</v>
      </c>
      <c r="C24">
        <f>SUM(C17:C22)/10</f>
        <v>0.5</v>
      </c>
      <c r="D24">
        <f>SUM(D17:D22)/36</f>
        <v>0.41666666666666669</v>
      </c>
      <c r="E24">
        <f>SUM(E17:E22)/24</f>
        <v>0.45833333333333331</v>
      </c>
      <c r="F24">
        <f>SUM(F17:F22)/69</f>
        <v>0.39130434782608697</v>
      </c>
      <c r="G24">
        <f>SUM(G17:G22)/51</f>
        <v>0.33333333333333331</v>
      </c>
      <c r="H24">
        <f>SUM(H17:H22)/109</f>
        <v>0.31192660550458717</v>
      </c>
      <c r="I24">
        <f>SUM(I17:I22)/85</f>
        <v>0.22352941176470589</v>
      </c>
    </row>
    <row r="27" spans="1:9" ht="14.5" x14ac:dyDescent="0.35">
      <c r="A27" t="s">
        <v>36</v>
      </c>
    </row>
    <row r="29" spans="1:9" ht="14.5" x14ac:dyDescent="0.35">
      <c r="B29" t="s">
        <v>3</v>
      </c>
      <c r="D29" t="s">
        <v>4</v>
      </c>
    </row>
    <row r="30" spans="1:9" ht="14.5" x14ac:dyDescent="0.35">
      <c r="A30" t="s">
        <v>10</v>
      </c>
      <c r="B30">
        <v>2</v>
      </c>
      <c r="C30">
        <v>1</v>
      </c>
      <c r="D30">
        <v>3</v>
      </c>
      <c r="E30">
        <v>2</v>
      </c>
    </row>
    <row r="31" spans="1:9" ht="14.5" x14ac:dyDescent="0.35">
      <c r="A31" t="s">
        <v>11</v>
      </c>
      <c r="B31">
        <v>5</v>
      </c>
      <c r="C31">
        <v>0</v>
      </c>
      <c r="D31">
        <v>7</v>
      </c>
      <c r="E31">
        <v>0</v>
      </c>
    </row>
    <row r="32" spans="1:9" ht="14.5" x14ac:dyDescent="0.35">
      <c r="A32" t="s">
        <v>12</v>
      </c>
      <c r="B32">
        <v>1</v>
      </c>
      <c r="C32">
        <v>0</v>
      </c>
      <c r="D32">
        <v>1</v>
      </c>
      <c r="E32">
        <v>0</v>
      </c>
    </row>
    <row r="33" spans="1:5" ht="14.5" x14ac:dyDescent="0.35">
      <c r="A33" t="s">
        <v>13</v>
      </c>
      <c r="B33">
        <v>2</v>
      </c>
      <c r="C33">
        <v>1</v>
      </c>
      <c r="D33">
        <v>4</v>
      </c>
      <c r="E33">
        <v>3</v>
      </c>
    </row>
    <row r="34" spans="1:5" ht="14.5" x14ac:dyDescent="0.35">
      <c r="A34" t="s">
        <v>14</v>
      </c>
      <c r="B34">
        <v>3</v>
      </c>
      <c r="C34">
        <v>0</v>
      </c>
      <c r="D34">
        <v>5</v>
      </c>
      <c r="E34">
        <v>0</v>
      </c>
    </row>
    <row r="35" spans="1:5" ht="14.5" x14ac:dyDescent="0.35">
      <c r="A35" t="s">
        <v>15</v>
      </c>
      <c r="B35">
        <v>2</v>
      </c>
      <c r="C35">
        <v>1</v>
      </c>
      <c r="D35">
        <v>5</v>
      </c>
      <c r="E35">
        <v>4</v>
      </c>
    </row>
    <row r="37" spans="1:5" ht="14.5" x14ac:dyDescent="0.35">
      <c r="B37">
        <f>SUM(B30:B35)/19</f>
        <v>0.78947368421052633</v>
      </c>
      <c r="C37">
        <f>SUM(C30:C35)/9</f>
        <v>0.33333333333333331</v>
      </c>
      <c r="D37">
        <f>SUM(D30:D35)/29</f>
        <v>0.86206896551724133</v>
      </c>
      <c r="E37">
        <f>SUM(E30:E35)/18</f>
        <v>0.5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2EB0-0B61-4DD1-9F9B-31329E739266}">
  <dimension ref="A1:AF34"/>
  <sheetViews>
    <sheetView zoomScale="109" zoomScaleNormal="85" workbookViewId="0">
      <selection activeCell="L19" sqref="L19"/>
    </sheetView>
  </sheetViews>
  <sheetFormatPr baseColWidth="10" defaultColWidth="11.54296875" defaultRowHeight="13.9" customHeight="1" x14ac:dyDescent="0.35"/>
  <cols>
    <col min="1" max="9" width="10.453125" customWidth="1"/>
    <col min="10" max="10" width="11.453125" style="1" customWidth="1"/>
    <col min="11" max="12" width="10.453125" customWidth="1"/>
    <col min="13" max="25" width="10.453125" hidden="1" customWidth="1"/>
  </cols>
  <sheetData>
    <row r="1" spans="1:32" ht="13.9" customHeight="1" x14ac:dyDescent="0.35">
      <c r="A1" t="s">
        <v>34</v>
      </c>
      <c r="M1" s="3" t="s">
        <v>1</v>
      </c>
      <c r="N1" s="3"/>
      <c r="O1" s="3"/>
      <c r="P1" s="3" t="s">
        <v>2</v>
      </c>
      <c r="Q1" s="3"/>
      <c r="R1" s="3"/>
      <c r="S1" s="3"/>
      <c r="T1" s="3"/>
      <c r="U1" s="3"/>
      <c r="V1" s="3"/>
      <c r="W1" s="3"/>
      <c r="X1" s="3"/>
      <c r="Y1" s="2"/>
      <c r="Z1" t="s">
        <v>37</v>
      </c>
      <c r="AB1">
        <v>5</v>
      </c>
      <c r="AC1">
        <v>4</v>
      </c>
      <c r="AD1">
        <v>3</v>
      </c>
      <c r="AE1">
        <v>2</v>
      </c>
      <c r="AF1">
        <v>1</v>
      </c>
    </row>
    <row r="2" spans="1:32" ht="13.9" customHeight="1" x14ac:dyDescent="0.35"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/>
      <c r="AB2" t="s">
        <v>27</v>
      </c>
      <c r="AC2" t="s">
        <v>28</v>
      </c>
      <c r="AD2" t="s">
        <v>29</v>
      </c>
      <c r="AE2" t="s">
        <v>30</v>
      </c>
      <c r="AF2" t="s">
        <v>31</v>
      </c>
    </row>
    <row r="3" spans="1:32" ht="13.9" customHeight="1" x14ac:dyDescent="0.35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M3" s="3"/>
      <c r="N3" s="3"/>
      <c r="O3" s="3"/>
      <c r="P3" s="3"/>
      <c r="Q3" s="3" t="s">
        <v>3</v>
      </c>
      <c r="R3" s="3" t="s">
        <v>4</v>
      </c>
      <c r="S3" s="3" t="s">
        <v>5</v>
      </c>
      <c r="T3" s="3" t="s">
        <v>6</v>
      </c>
      <c r="U3" s="3" t="s">
        <v>7</v>
      </c>
      <c r="V3" s="3" t="s">
        <v>8</v>
      </c>
      <c r="W3" s="3" t="s">
        <v>9</v>
      </c>
      <c r="X3" s="3"/>
      <c r="Y3" s="2"/>
      <c r="AA3" t="s">
        <v>32</v>
      </c>
    </row>
    <row r="4" spans="1:32" ht="13.9" customHeight="1" x14ac:dyDescent="0.35">
      <c r="A4" t="s">
        <v>10</v>
      </c>
      <c r="B4" s="4">
        <v>1</v>
      </c>
      <c r="C4" s="4">
        <v>1</v>
      </c>
      <c r="D4" s="4">
        <v>1</v>
      </c>
      <c r="F4" s="4">
        <v>1</v>
      </c>
      <c r="J4" s="1">
        <f>SUM(B4:H4)/12</f>
        <v>0.33333333333333331</v>
      </c>
      <c r="M4" s="3"/>
      <c r="N4" s="3"/>
      <c r="O4" s="3"/>
      <c r="P4" s="3" t="s">
        <v>10</v>
      </c>
      <c r="Q4" s="3">
        <v>2</v>
      </c>
      <c r="R4" s="3">
        <v>2</v>
      </c>
      <c r="S4" s="3">
        <v>3</v>
      </c>
      <c r="T4" s="3"/>
      <c r="U4" s="3">
        <v>2</v>
      </c>
      <c r="V4" s="3"/>
      <c r="W4" s="3"/>
      <c r="X4" s="3"/>
      <c r="Y4" s="2">
        <f>SUM(Q4:W4)/12</f>
        <v>0.75</v>
      </c>
      <c r="AA4" t="s">
        <v>33</v>
      </c>
    </row>
    <row r="5" spans="1:32" ht="13.9" customHeight="1" x14ac:dyDescent="0.35">
      <c r="A5" t="s">
        <v>11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J5" s="1">
        <f>SUM(B5:H5)/7</f>
        <v>1</v>
      </c>
      <c r="M5" s="3"/>
      <c r="N5" s="3"/>
      <c r="O5" s="3"/>
      <c r="P5" s="3" t="s">
        <v>11</v>
      </c>
      <c r="Q5" s="3">
        <v>1</v>
      </c>
      <c r="R5" s="3">
        <v>2</v>
      </c>
      <c r="S5" s="3">
        <v>0</v>
      </c>
      <c r="T5" s="3">
        <v>0</v>
      </c>
      <c r="U5" s="3">
        <v>2</v>
      </c>
      <c r="V5" s="3">
        <v>0</v>
      </c>
      <c r="W5" s="3">
        <v>0</v>
      </c>
      <c r="X5" s="3"/>
      <c r="Y5" s="2">
        <f>SUM(Q5:W5)/21</f>
        <v>0.23809523809523808</v>
      </c>
    </row>
    <row r="6" spans="1:32" ht="13.9" customHeight="1" x14ac:dyDescent="0.35">
      <c r="A6" t="s">
        <v>12</v>
      </c>
      <c r="B6" s="4">
        <v>1</v>
      </c>
      <c r="C6" s="4">
        <v>1</v>
      </c>
      <c r="D6" s="4">
        <v>1</v>
      </c>
      <c r="F6" s="4">
        <v>1</v>
      </c>
      <c r="J6" s="1">
        <f>SUM(B6:H6)/4</f>
        <v>1</v>
      </c>
      <c r="M6" s="3"/>
      <c r="N6" s="3"/>
      <c r="O6" s="3"/>
      <c r="P6" s="3" t="s">
        <v>12</v>
      </c>
      <c r="Q6" s="3">
        <v>3</v>
      </c>
      <c r="R6" s="3">
        <v>3</v>
      </c>
      <c r="S6" s="3">
        <v>0</v>
      </c>
      <c r="T6" s="3"/>
      <c r="U6" s="3">
        <v>0</v>
      </c>
      <c r="V6" s="3"/>
      <c r="W6" s="3"/>
      <c r="X6" s="3"/>
      <c r="Y6" s="2">
        <f>SUM(Q6:W6)/12</f>
        <v>0.5</v>
      </c>
    </row>
    <row r="7" spans="1:32" ht="13.9" customHeight="1" x14ac:dyDescent="0.35">
      <c r="A7" t="s">
        <v>13</v>
      </c>
      <c r="B7">
        <v>2</v>
      </c>
      <c r="C7">
        <v>3</v>
      </c>
      <c r="D7">
        <v>3</v>
      </c>
      <c r="F7">
        <v>2</v>
      </c>
      <c r="J7" s="1">
        <f>SUM(B7:H7)/4</f>
        <v>2.5</v>
      </c>
      <c r="M7" s="3"/>
      <c r="N7" s="3"/>
      <c r="O7" s="3"/>
      <c r="P7" s="3" t="s">
        <v>13</v>
      </c>
      <c r="Q7" s="3">
        <v>2</v>
      </c>
      <c r="R7" s="3">
        <v>3</v>
      </c>
      <c r="S7" s="3">
        <v>3</v>
      </c>
      <c r="T7" s="3"/>
      <c r="U7" s="3">
        <v>2</v>
      </c>
      <c r="V7" s="3"/>
      <c r="W7" s="3"/>
      <c r="X7" s="3"/>
      <c r="Y7" s="2">
        <f>SUM(Q7:W7)/12</f>
        <v>0.83333333333333337</v>
      </c>
    </row>
    <row r="8" spans="1:32" ht="13.9" customHeight="1" x14ac:dyDescent="0.35">
      <c r="A8" t="s">
        <v>14</v>
      </c>
      <c r="B8">
        <v>3</v>
      </c>
      <c r="C8">
        <v>3</v>
      </c>
      <c r="D8">
        <v>3</v>
      </c>
      <c r="F8">
        <v>3</v>
      </c>
      <c r="J8" s="1">
        <f>SUM(B8:H8)/4</f>
        <v>3</v>
      </c>
      <c r="M8" s="3"/>
      <c r="N8" s="3"/>
      <c r="O8" s="3"/>
      <c r="P8" s="3" t="s">
        <v>14</v>
      </c>
      <c r="Q8" s="3">
        <v>2</v>
      </c>
      <c r="R8" s="3">
        <v>2</v>
      </c>
      <c r="S8" s="3">
        <v>0</v>
      </c>
      <c r="T8" s="3"/>
      <c r="U8" s="3">
        <v>0</v>
      </c>
      <c r="V8" s="3"/>
      <c r="W8" s="3"/>
      <c r="X8" s="3"/>
      <c r="Y8" s="2">
        <f>SUM(Q8:W8)/12</f>
        <v>0.33333333333333331</v>
      </c>
    </row>
    <row r="9" spans="1:32" ht="13.9" customHeight="1" x14ac:dyDescent="0.35">
      <c r="A9" t="s">
        <v>15</v>
      </c>
      <c r="B9">
        <v>1</v>
      </c>
      <c r="C9">
        <v>3</v>
      </c>
      <c r="D9">
        <v>3</v>
      </c>
      <c r="F9">
        <v>3</v>
      </c>
      <c r="J9" s="1">
        <f>SUM(B9:H9)/4</f>
        <v>2.5</v>
      </c>
      <c r="M9" s="3"/>
      <c r="N9" s="3"/>
      <c r="O9" s="3"/>
      <c r="P9" s="3" t="s">
        <v>15</v>
      </c>
      <c r="Q9" s="3">
        <v>1</v>
      </c>
      <c r="R9" s="3">
        <v>2</v>
      </c>
      <c r="S9" s="3">
        <v>3</v>
      </c>
      <c r="T9" s="3"/>
      <c r="U9" s="3">
        <v>2</v>
      </c>
      <c r="V9" s="3"/>
      <c r="W9" s="3"/>
      <c r="X9" s="3"/>
      <c r="Y9" s="2">
        <f>SUM(Q9:W9)/12</f>
        <v>0.66666666666666663</v>
      </c>
    </row>
    <row r="10" spans="1:32" ht="13.9" customHeight="1" x14ac:dyDescent="0.35"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2"/>
    </row>
    <row r="11" spans="1:32" ht="13.9" customHeight="1" x14ac:dyDescent="0.35">
      <c r="A11" s="1"/>
      <c r="B11" s="1">
        <f>SUM(B4:B9)/6</f>
        <v>1.5</v>
      </c>
      <c r="C11" s="1">
        <f>SUM(C4:C9)/6</f>
        <v>2</v>
      </c>
      <c r="D11" s="1">
        <f>SUM(D4:D9)/6</f>
        <v>2</v>
      </c>
      <c r="E11" s="1">
        <f>SUM(E4:E9)/1</f>
        <v>1</v>
      </c>
      <c r="F11" s="1">
        <f>SUM(F4:F9)/6</f>
        <v>1.8333333333333333</v>
      </c>
      <c r="G11" s="1">
        <f>SUM(G4:G9)/1</f>
        <v>1</v>
      </c>
      <c r="H11" s="1">
        <f>SUM(H4:H9)/1</f>
        <v>1</v>
      </c>
      <c r="I11" s="1"/>
      <c r="K11" s="1"/>
      <c r="L11" s="1"/>
      <c r="M11" s="2"/>
      <c r="N11" s="2"/>
      <c r="O11" s="2"/>
      <c r="P11" s="2"/>
      <c r="Q11" s="2">
        <f>SUM(Q4:Q9)/18</f>
        <v>0.61111111111111116</v>
      </c>
      <c r="R11" s="2">
        <f>SUM(R4:R9)/18</f>
        <v>0.77777777777777779</v>
      </c>
      <c r="S11" s="2">
        <f>SUM(S4:S9)/18</f>
        <v>0.5</v>
      </c>
      <c r="T11" s="2">
        <f>SUM(T4:T9)/3</f>
        <v>0</v>
      </c>
      <c r="U11" s="2">
        <f>SUM(U4:U9)/18</f>
        <v>0.44444444444444442</v>
      </c>
      <c r="V11" s="2">
        <f>SUM(V4:V9)/3</f>
        <v>0</v>
      </c>
      <c r="W11" s="2">
        <f>SUM(W4:W9)/3</f>
        <v>0</v>
      </c>
      <c r="X11" s="2"/>
      <c r="Y11" s="2"/>
    </row>
    <row r="12" spans="1:32" ht="13.9" customHeight="1" x14ac:dyDescent="0.35"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2"/>
    </row>
    <row r="13" spans="1:32" ht="13.9" customHeight="1" x14ac:dyDescent="0.35"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2"/>
    </row>
    <row r="14" spans="1:32" ht="13.9" customHeight="1" x14ac:dyDescent="0.35">
      <c r="A14" t="s">
        <v>35</v>
      </c>
      <c r="M14" s="3"/>
      <c r="N14" s="3"/>
      <c r="O14" s="3"/>
      <c r="P14" s="3" t="s">
        <v>18</v>
      </c>
      <c r="Q14" s="3"/>
      <c r="R14" s="3"/>
      <c r="S14" s="3"/>
      <c r="T14" s="3"/>
      <c r="U14" s="3"/>
      <c r="V14" s="3"/>
      <c r="W14" s="3"/>
      <c r="X14" s="3"/>
      <c r="Y14" s="2"/>
    </row>
    <row r="15" spans="1:32" ht="13.9" customHeight="1" x14ac:dyDescent="0.35"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2"/>
    </row>
    <row r="16" spans="1:32" ht="13.9" customHeight="1" x14ac:dyDescent="0.35"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M16" s="3"/>
      <c r="N16" s="3"/>
      <c r="O16" s="3"/>
      <c r="P16" s="3"/>
      <c r="Q16" s="3" t="s">
        <v>3</v>
      </c>
      <c r="R16" s="3" t="s">
        <v>4</v>
      </c>
      <c r="S16" s="3" t="s">
        <v>5</v>
      </c>
      <c r="T16" s="3" t="s">
        <v>6</v>
      </c>
      <c r="U16" s="3" t="s">
        <v>7</v>
      </c>
      <c r="V16" s="3" t="s">
        <v>8</v>
      </c>
      <c r="W16" s="3" t="s">
        <v>9</v>
      </c>
      <c r="X16" s="3"/>
      <c r="Y16" s="2"/>
    </row>
    <row r="17" spans="1:25" ht="13.9" customHeight="1" x14ac:dyDescent="0.35">
      <c r="A17" t="s">
        <v>10</v>
      </c>
      <c r="B17" s="4">
        <v>1</v>
      </c>
      <c r="C17" s="4">
        <v>1</v>
      </c>
      <c r="D17" s="4">
        <v>1</v>
      </c>
      <c r="F17" s="4">
        <v>1</v>
      </c>
      <c r="J17" s="1">
        <f>SUM(B17:H17)/4</f>
        <v>1</v>
      </c>
      <c r="M17" s="3"/>
      <c r="N17" s="3"/>
      <c r="O17" s="3"/>
      <c r="P17" s="3" t="s">
        <v>10</v>
      </c>
      <c r="Q17" s="3">
        <v>1</v>
      </c>
      <c r="R17" s="3">
        <v>3</v>
      </c>
      <c r="S17" s="3">
        <v>0</v>
      </c>
      <c r="T17" s="3"/>
      <c r="U17" s="3">
        <v>1</v>
      </c>
      <c r="V17" s="3"/>
      <c r="W17" s="3"/>
      <c r="X17" s="3"/>
      <c r="Y17" s="2">
        <f>SUM(Q17:W17)/12</f>
        <v>0.41666666666666669</v>
      </c>
    </row>
    <row r="18" spans="1:25" ht="13.9" customHeight="1" x14ac:dyDescent="0.35">
      <c r="A18" t="s">
        <v>11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J18" s="1">
        <f>SUM(B18:H18)/7</f>
        <v>1</v>
      </c>
      <c r="M18" s="3"/>
      <c r="N18" s="3"/>
      <c r="O18" s="3"/>
      <c r="P18" s="3" t="s">
        <v>11</v>
      </c>
      <c r="Q18" s="3">
        <v>0</v>
      </c>
      <c r="R18" s="3">
        <v>0</v>
      </c>
      <c r="S18" s="3">
        <v>0</v>
      </c>
      <c r="T18" s="3">
        <v>1</v>
      </c>
      <c r="U18" s="3">
        <v>0</v>
      </c>
      <c r="V18" s="3">
        <v>0</v>
      </c>
      <c r="W18" s="3">
        <v>0</v>
      </c>
      <c r="X18" s="3"/>
      <c r="Y18" s="2">
        <f>SUM(Q18:W18)/21</f>
        <v>4.7619047619047616E-2</v>
      </c>
    </row>
    <row r="19" spans="1:25" ht="13.9" customHeight="1" x14ac:dyDescent="0.35">
      <c r="A19" t="s">
        <v>12</v>
      </c>
      <c r="B19" s="4">
        <v>1</v>
      </c>
      <c r="C19" s="4">
        <v>1</v>
      </c>
      <c r="D19" s="4">
        <v>1</v>
      </c>
      <c r="F19" s="4">
        <v>1</v>
      </c>
      <c r="J19" s="1">
        <f>SUM(B19:H19)/4</f>
        <v>1</v>
      </c>
      <c r="M19" s="3"/>
      <c r="N19" s="3"/>
      <c r="O19" s="3"/>
      <c r="P19" s="3" t="s">
        <v>12</v>
      </c>
      <c r="Q19" s="3">
        <v>2</v>
      </c>
      <c r="R19" s="3">
        <v>3</v>
      </c>
      <c r="S19" s="3">
        <v>0</v>
      </c>
      <c r="T19" s="3"/>
      <c r="U19" s="3">
        <v>0</v>
      </c>
      <c r="V19" s="3"/>
      <c r="W19" s="3"/>
      <c r="X19" s="3"/>
      <c r="Y19" s="2">
        <f>SUM(Q19:W19)/12</f>
        <v>0.41666666666666669</v>
      </c>
    </row>
    <row r="20" spans="1:25" ht="13.9" customHeight="1" x14ac:dyDescent="0.35">
      <c r="A20" t="s">
        <v>13</v>
      </c>
      <c r="B20">
        <v>2</v>
      </c>
      <c r="C20">
        <v>1</v>
      </c>
      <c r="D20">
        <v>2</v>
      </c>
      <c r="F20">
        <v>2</v>
      </c>
      <c r="J20" s="1">
        <f>SUM(B20:H20)/4</f>
        <v>1.75</v>
      </c>
      <c r="M20" s="3"/>
      <c r="N20" s="3"/>
      <c r="O20" s="3"/>
      <c r="P20" s="3" t="s">
        <v>13</v>
      </c>
      <c r="Q20" s="3">
        <v>2</v>
      </c>
      <c r="R20" s="3">
        <v>1</v>
      </c>
      <c r="S20" s="3">
        <v>2</v>
      </c>
      <c r="T20" s="3"/>
      <c r="U20" s="3">
        <v>1</v>
      </c>
      <c r="V20" s="3"/>
      <c r="W20" s="3"/>
      <c r="X20" s="3"/>
      <c r="Y20" s="2">
        <f>SUM(Q20:W20)/12</f>
        <v>0.5</v>
      </c>
    </row>
    <row r="21" spans="1:25" ht="13.9" customHeight="1" x14ac:dyDescent="0.35">
      <c r="A21" t="s">
        <v>14</v>
      </c>
      <c r="B21">
        <v>3</v>
      </c>
      <c r="C21">
        <v>3</v>
      </c>
      <c r="D21">
        <v>3</v>
      </c>
      <c r="F21">
        <v>3</v>
      </c>
      <c r="J21" s="1">
        <f>SUM(B21:H21)/4</f>
        <v>3</v>
      </c>
      <c r="M21" s="3"/>
      <c r="N21" s="3"/>
      <c r="O21" s="3"/>
      <c r="P21" s="3" t="s">
        <v>14</v>
      </c>
      <c r="Q21" s="3">
        <v>1</v>
      </c>
      <c r="R21" s="3">
        <v>0</v>
      </c>
      <c r="S21" s="3">
        <v>0</v>
      </c>
      <c r="T21" s="3"/>
      <c r="U21" s="3">
        <v>0</v>
      </c>
      <c r="V21" s="3"/>
      <c r="W21" s="3"/>
      <c r="X21" s="3"/>
      <c r="Y21" s="2">
        <f>SUM(Q21:W21)/12</f>
        <v>8.3333333333333329E-2</v>
      </c>
    </row>
    <row r="22" spans="1:25" ht="13.9" customHeight="1" x14ac:dyDescent="0.35">
      <c r="A22" t="s">
        <v>15</v>
      </c>
      <c r="B22">
        <v>3</v>
      </c>
      <c r="C22">
        <v>3</v>
      </c>
      <c r="D22">
        <v>3</v>
      </c>
      <c r="F22">
        <v>3</v>
      </c>
      <c r="J22" s="1">
        <f>SUM(B22:H22)/4</f>
        <v>3</v>
      </c>
      <c r="M22" s="3"/>
      <c r="N22" s="3"/>
      <c r="O22" s="3"/>
      <c r="P22" s="3" t="s">
        <v>15</v>
      </c>
      <c r="Q22" s="3">
        <v>3</v>
      </c>
      <c r="R22" s="3">
        <v>3</v>
      </c>
      <c r="S22" s="3">
        <v>2</v>
      </c>
      <c r="T22" s="3"/>
      <c r="U22" s="3">
        <v>1</v>
      </c>
      <c r="V22" s="3"/>
      <c r="W22" s="3"/>
      <c r="X22" s="3"/>
      <c r="Y22" s="2">
        <f>SUM(Q22:W22)/12</f>
        <v>0.75</v>
      </c>
    </row>
    <row r="23" spans="1:25" ht="13.9" customHeight="1" x14ac:dyDescent="0.35"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2"/>
    </row>
    <row r="24" spans="1:25" ht="13.9" customHeight="1" x14ac:dyDescent="0.35">
      <c r="A24" s="1"/>
      <c r="B24" s="1">
        <f>SUM(B17:B22)/6</f>
        <v>1.8333333333333333</v>
      </c>
      <c r="C24" s="1">
        <f>SUM(C17:C22)/6</f>
        <v>1.6666666666666667</v>
      </c>
      <c r="D24" s="1">
        <f>SUM(D17:D22)/6</f>
        <v>1.8333333333333333</v>
      </c>
      <c r="E24" s="1">
        <f>SUM(E17:E22)/1</f>
        <v>1</v>
      </c>
      <c r="F24" s="1">
        <f>SUM(F17:F22)/6</f>
        <v>1.8333333333333333</v>
      </c>
      <c r="G24" s="1">
        <f>SUM(G17:G22)/1</f>
        <v>1</v>
      </c>
      <c r="H24" s="1">
        <f>SUM(H17:H22)/1</f>
        <v>1</v>
      </c>
      <c r="I24" s="1"/>
      <c r="K24" s="1"/>
      <c r="L24" s="1"/>
      <c r="M24" s="2"/>
      <c r="N24" s="2"/>
      <c r="O24" s="2"/>
      <c r="P24" s="2"/>
      <c r="Q24" s="2">
        <f>SUM(Q17:Q22)/18</f>
        <v>0.5</v>
      </c>
      <c r="R24" s="2">
        <f>SUM(R17:R22)/18</f>
        <v>0.55555555555555558</v>
      </c>
      <c r="S24" s="2">
        <f>SUM(S17:S22)/18</f>
        <v>0.22222222222222221</v>
      </c>
      <c r="T24" s="2">
        <f>SUM(T17:T22)/3</f>
        <v>0.33333333333333331</v>
      </c>
      <c r="U24" s="2">
        <f>SUM(U17:U22)/18</f>
        <v>0.16666666666666666</v>
      </c>
      <c r="V24" s="2">
        <f>SUM(V17:V22)/3</f>
        <v>0</v>
      </c>
      <c r="W24" s="2">
        <f>SUM(W17:W22)/3</f>
        <v>0</v>
      </c>
      <c r="X24" s="2"/>
      <c r="Y24" s="2"/>
    </row>
    <row r="25" spans="1:25" ht="13.9" customHeight="1" x14ac:dyDescent="0.35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2"/>
    </row>
    <row r="26" spans="1:25" ht="13.9" customHeight="1" x14ac:dyDescent="0.35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2"/>
    </row>
    <row r="27" spans="1:25" ht="14.5" x14ac:dyDescent="0.35">
      <c r="A27" t="s">
        <v>36</v>
      </c>
      <c r="M27" s="3"/>
      <c r="N27" s="3"/>
      <c r="O27" s="3"/>
      <c r="P27" s="3" t="s">
        <v>20</v>
      </c>
      <c r="Q27" s="3"/>
      <c r="R27" s="3"/>
      <c r="S27" s="3"/>
      <c r="T27" s="3"/>
      <c r="U27" s="3"/>
      <c r="V27" s="3"/>
      <c r="W27" s="3"/>
      <c r="X27" s="3"/>
      <c r="Y27" s="2"/>
    </row>
    <row r="28" spans="1:25" ht="14.5" x14ac:dyDescent="0.35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2"/>
    </row>
    <row r="29" spans="1:25" ht="14.5" x14ac:dyDescent="0.35">
      <c r="B29" t="s">
        <v>3</v>
      </c>
      <c r="C29" t="s">
        <v>4</v>
      </c>
      <c r="M29" s="3"/>
      <c r="N29" s="3"/>
      <c r="O29" s="3"/>
      <c r="P29" s="3"/>
      <c r="Q29" s="3" t="s">
        <v>3</v>
      </c>
      <c r="R29" s="3" t="s">
        <v>4</v>
      </c>
      <c r="S29" s="3"/>
      <c r="T29" s="3"/>
      <c r="U29" s="3"/>
      <c r="V29" s="3"/>
      <c r="W29" s="3"/>
      <c r="X29" s="3"/>
      <c r="Y29" s="2"/>
    </row>
    <row r="30" spans="1:25" ht="14.5" x14ac:dyDescent="0.35">
      <c r="A30" t="s">
        <v>21</v>
      </c>
      <c r="B30">
        <v>3</v>
      </c>
      <c r="C30">
        <v>1</v>
      </c>
      <c r="E30" s="1">
        <f>SUM(B30:C30)/6</f>
        <v>0.66666666666666663</v>
      </c>
      <c r="M30" s="3"/>
      <c r="N30" s="3"/>
      <c r="O30" s="3"/>
      <c r="P30" s="3" t="s">
        <v>21</v>
      </c>
      <c r="Q30" s="3">
        <v>0</v>
      </c>
      <c r="R30" s="3">
        <v>0</v>
      </c>
      <c r="S30" s="3"/>
      <c r="T30" s="2">
        <f>SUM(Q30:R30)/6</f>
        <v>0</v>
      </c>
      <c r="U30" s="3"/>
      <c r="V30" s="3"/>
      <c r="W30" s="3"/>
      <c r="X30" s="3"/>
      <c r="Y30" s="2"/>
    </row>
    <row r="31" spans="1:25" ht="14.5" x14ac:dyDescent="0.35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2"/>
    </row>
    <row r="32" spans="1:25" ht="14.5" x14ac:dyDescent="0.35">
      <c r="A32" s="1"/>
      <c r="B32" s="1">
        <f>SUM(B30)/3</f>
        <v>1</v>
      </c>
      <c r="C32" s="1">
        <f>SUM(C30)/3</f>
        <v>0.33333333333333331</v>
      </c>
      <c r="D32" s="1"/>
      <c r="E32" s="1"/>
      <c r="F32" s="1"/>
      <c r="G32" s="1"/>
      <c r="H32" s="1"/>
      <c r="I32" s="1"/>
      <c r="K32" s="1"/>
      <c r="L32" s="1"/>
      <c r="M32" s="2"/>
      <c r="N32" s="2"/>
      <c r="O32" s="2"/>
      <c r="P32" s="2"/>
      <c r="Q32" s="2">
        <f>SUM(Q30)/3</f>
        <v>0</v>
      </c>
      <c r="R32" s="2">
        <f>SUM(R30)/3</f>
        <v>0</v>
      </c>
      <c r="S32" s="2"/>
      <c r="T32" s="2"/>
      <c r="U32" s="2"/>
      <c r="V32" s="2"/>
      <c r="W32" s="2"/>
      <c r="X32" s="2"/>
      <c r="Y32" s="2"/>
    </row>
    <row r="33" spans="13:25" ht="14.5" x14ac:dyDescent="0.35"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2"/>
    </row>
    <row r="34" spans="13:25" ht="14.5" x14ac:dyDescent="0.35">
      <c r="M34" s="3"/>
      <c r="N34" s="3"/>
      <c r="O34" s="3"/>
      <c r="P34" s="3"/>
      <c r="Q34" s="2" t="e">
        <f>SUM(#REF!)/6</f>
        <v>#REF!</v>
      </c>
      <c r="R34" s="2" t="e">
        <f>SUM(#REF!)/6</f>
        <v>#REF!</v>
      </c>
      <c r="S34" s="3"/>
      <c r="T34" s="3"/>
      <c r="U34" s="3"/>
      <c r="V34" s="3"/>
      <c r="W34" s="3"/>
      <c r="X34" s="3"/>
      <c r="Y34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Overview</vt:lpstr>
      <vt:lpstr>Importability_Gemma</vt:lpstr>
      <vt:lpstr>Completeness_Gemma</vt:lpstr>
      <vt:lpstr>Precision_Gemma</vt:lpstr>
      <vt:lpstr>Quality_Gemma</vt:lpstr>
      <vt:lpstr>Importability_Ministral</vt:lpstr>
      <vt:lpstr>Completeness_Ministral</vt:lpstr>
      <vt:lpstr>Precision_Ministral</vt:lpstr>
      <vt:lpstr>Quality_Ministral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Nast</dc:creator>
  <cp:keywords/>
  <dc:description/>
  <cp:lastModifiedBy>Hauke Wohlers</cp:lastModifiedBy>
  <cp:revision>73</cp:revision>
  <dcterms:created xsi:type="dcterms:W3CDTF">2025-03-10T08:53:57Z</dcterms:created>
  <dcterms:modified xsi:type="dcterms:W3CDTF">2026-09-16T19:57:53Z</dcterms:modified>
  <cp:category/>
  <cp:contentStatus/>
</cp:coreProperties>
</file>